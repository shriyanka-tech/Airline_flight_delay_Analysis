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y\OneDrive\Desktop\flight_delay\flights_sample_3m.csv\"/>
    </mc:Choice>
  </mc:AlternateContent>
  <xr:revisionPtr revIDLastSave="0" documentId="8_{0636A019-E228-4D3D-B3C0-AAADBD24F06B}" xr6:coauthVersionLast="47" xr6:coauthVersionMax="47" xr10:uidLastSave="{00000000-0000-0000-0000-000000000000}"/>
  <bookViews>
    <workbookView xWindow="-108" yWindow="-108" windowWidth="23256" windowHeight="12456" xr2:uid="{1D13783F-FF56-4456-A9F7-CB53AE2C5F99}"/>
  </bookViews>
  <sheets>
    <sheet name="flights_sample_3m" sheetId="2" r:id="rId1"/>
  </sheets>
  <definedNames>
    <definedName name="ExternalData_1" localSheetId="0" hidden="1">flights_sample_3m!$A$1:$AI$501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58AB1B-38A5-49C0-9D13-0A7BDA4AC3A3}" keepAlive="1" name="Query - flights_sample_3m" description="Connection to the 'flights_sample_3m' query in the workbook." type="5" refreshedVersion="8" background="1" saveData="1">
    <dbPr connection="Provider=Microsoft.Mashup.OleDb.1;Data Source=$Workbook$;Location=flights_sample_3m;Extended Properties=&quot;&quot;" command="SELECT * FROM [flights_sample_3m]"/>
  </connection>
</connections>
</file>

<file path=xl/sharedStrings.xml><?xml version="1.0" encoding="utf-8"?>
<sst xmlns="http://schemas.openxmlformats.org/spreadsheetml/2006/main" count="3546" uniqueCount="413">
  <si>
    <t>FL_DATE</t>
  </si>
  <si>
    <t>AIRLINE</t>
  </si>
  <si>
    <t>AIRLINE_DOT</t>
  </si>
  <si>
    <t>AIRLINE_CODE</t>
  </si>
  <si>
    <t>DOT_CODE</t>
  </si>
  <si>
    <t>FL_NUMBER</t>
  </si>
  <si>
    <t>ORIGIN</t>
  </si>
  <si>
    <t>ORIGIN_CITY</t>
  </si>
  <si>
    <t>DEST</t>
  </si>
  <si>
    <t>DEST_CITY</t>
  </si>
  <si>
    <t>CRS_DEP_TIME</t>
  </si>
  <si>
    <t>DEP_TIME</t>
  </si>
  <si>
    <t>DEP_DELAY</t>
  </si>
  <si>
    <t>TAXI_OUT</t>
  </si>
  <si>
    <t>WHEELS_OFF</t>
  </si>
  <si>
    <t>WHEELS_ON</t>
  </si>
  <si>
    <t>TAXI_IN</t>
  </si>
  <si>
    <t>CRS_ARR_TIME</t>
  </si>
  <si>
    <t>ARR_TIME</t>
  </si>
  <si>
    <t>ARR_DELAY</t>
  </si>
  <si>
    <t>CANCELLED</t>
  </si>
  <si>
    <t>CANCELLATION_CODE</t>
  </si>
  <si>
    <t>DIVERTED</t>
  </si>
  <si>
    <t>CRS_ELAPSED_TIME</t>
  </si>
  <si>
    <t>ELAPSED_TIME</t>
  </si>
  <si>
    <t>AIR_TIME</t>
  </si>
  <si>
    <t>DISTANCE</t>
  </si>
  <si>
    <t>DELAY_DUE_CARRIER</t>
  </si>
  <si>
    <t>DELAY_DUE_WEATHER</t>
  </si>
  <si>
    <t>DELAY_DUE_NAS</t>
  </si>
  <si>
    <t>DELAY_DUE_SECURITY</t>
  </si>
  <si>
    <t>DELAY_DUE_LATE_AIRCRAFT</t>
  </si>
  <si>
    <t>United Air Lines Inc.</t>
  </si>
  <si>
    <t>United Air Lines Inc.: UA</t>
  </si>
  <si>
    <t>UA</t>
  </si>
  <si>
    <t>FLL</t>
  </si>
  <si>
    <t>Fort Lauderdale, FL</t>
  </si>
  <si>
    <t>EWR</t>
  </si>
  <si>
    <t>Newark, NJ</t>
  </si>
  <si>
    <t>Delta Air Lines Inc.</t>
  </si>
  <si>
    <t>Delta Air Lines Inc.: DL</t>
  </si>
  <si>
    <t>DL</t>
  </si>
  <si>
    <t>MSP</t>
  </si>
  <si>
    <t>Minneapolis, MN</t>
  </si>
  <si>
    <t>SEA</t>
  </si>
  <si>
    <t>Seattle, WA</t>
  </si>
  <si>
    <t>DEN</t>
  </si>
  <si>
    <t>Denver, CO</t>
  </si>
  <si>
    <t>SFO</t>
  </si>
  <si>
    <t>San Francisco, CA</t>
  </si>
  <si>
    <t>Spirit Air Lines</t>
  </si>
  <si>
    <t>Spirit Air Lines: NK</t>
  </si>
  <si>
    <t>NK</t>
  </si>
  <si>
    <t>MCO</t>
  </si>
  <si>
    <t>Orlando, FL</t>
  </si>
  <si>
    <t>DFW</t>
  </si>
  <si>
    <t>Dallas/Fort Worth, TX</t>
  </si>
  <si>
    <t>Southwest Airlines Co.</t>
  </si>
  <si>
    <t>Southwest Airlines Co.: WN</t>
  </si>
  <si>
    <t>WN</t>
  </si>
  <si>
    <t>DAL</t>
  </si>
  <si>
    <t>Dallas, TX</t>
  </si>
  <si>
    <t>OKC</t>
  </si>
  <si>
    <t>Oklahoma City, OK</t>
  </si>
  <si>
    <t>American Airlines Inc.</t>
  </si>
  <si>
    <t>American Airlines Inc.: AA</t>
  </si>
  <si>
    <t>AA</t>
  </si>
  <si>
    <t>DCA</t>
  </si>
  <si>
    <t>Washington, DC</t>
  </si>
  <si>
    <t>BOS</t>
  </si>
  <si>
    <t>Boston, MA</t>
  </si>
  <si>
    <t>Republic Airline</t>
  </si>
  <si>
    <t>Republic Airline: YX</t>
  </si>
  <si>
    <t>YX</t>
  </si>
  <si>
    <t>HSV</t>
  </si>
  <si>
    <t>Huntsville, AL</t>
  </si>
  <si>
    <t>IAH</t>
  </si>
  <si>
    <t>Houston, TX</t>
  </si>
  <si>
    <t>LAX</t>
  </si>
  <si>
    <t>Los Angeles, CA</t>
  </si>
  <si>
    <t>Alaska Airlines Inc.</t>
  </si>
  <si>
    <t>Alaska Airlines Inc.: AS</t>
  </si>
  <si>
    <t>AS</t>
  </si>
  <si>
    <t>FAI</t>
  </si>
  <si>
    <t>Fairbanks, AK</t>
  </si>
  <si>
    <t>ATL</t>
  </si>
  <si>
    <t>Atlanta, GA</t>
  </si>
  <si>
    <t>BDL</t>
  </si>
  <si>
    <t>Hartford, CT</t>
  </si>
  <si>
    <t>RDU</t>
  </si>
  <si>
    <t>Raleigh/Durham, NC</t>
  </si>
  <si>
    <t>MDW</t>
  </si>
  <si>
    <t>Chicago, IL</t>
  </si>
  <si>
    <t>BNA</t>
  </si>
  <si>
    <t>Nashville, TN</t>
  </si>
  <si>
    <t>SJC</t>
  </si>
  <si>
    <t>San Jose, CA</t>
  </si>
  <si>
    <t>D</t>
  </si>
  <si>
    <t>BWI</t>
  </si>
  <si>
    <t>Baltimore, MD</t>
  </si>
  <si>
    <t>STT</t>
  </si>
  <si>
    <t>Charlotte Amalie, VI</t>
  </si>
  <si>
    <t>MSY</t>
  </si>
  <si>
    <t>New Orleans, LA</t>
  </si>
  <si>
    <t>SRQ</t>
  </si>
  <si>
    <t>Sarasota/Bradenton, FL</t>
  </si>
  <si>
    <t>ORD</t>
  </si>
  <si>
    <t>JetBlue Airways</t>
  </si>
  <si>
    <t>JetBlue Airways: B6</t>
  </si>
  <si>
    <t>B6</t>
  </si>
  <si>
    <t>JFK</t>
  </si>
  <si>
    <t>New York, NY</t>
  </si>
  <si>
    <t>CHS</t>
  </si>
  <si>
    <t>Charleston, SC</t>
  </si>
  <si>
    <t>ACY</t>
  </si>
  <si>
    <t>Atlantic City, NJ</t>
  </si>
  <si>
    <t>GRR</t>
  </si>
  <si>
    <t>Grand Rapids, MI</t>
  </si>
  <si>
    <t>PNS</t>
  </si>
  <si>
    <t>Pensacola, FL</t>
  </si>
  <si>
    <t>PSA Airlines Inc.</t>
  </si>
  <si>
    <t>PSA Airlines Inc.: OH</t>
  </si>
  <si>
    <t>OH</t>
  </si>
  <si>
    <t>CLT</t>
  </si>
  <si>
    <t>Charlotte, NC</t>
  </si>
  <si>
    <t>IAD</t>
  </si>
  <si>
    <t>Allegiant Air</t>
  </si>
  <si>
    <t>Allegiant Air: G4</t>
  </si>
  <si>
    <t>G4</t>
  </si>
  <si>
    <t>LAS</t>
  </si>
  <si>
    <t>Las Vegas, NV</t>
  </si>
  <si>
    <t>GEG</t>
  </si>
  <si>
    <t>Spokane, WA</t>
  </si>
  <si>
    <t>ExpressJet Airlines LLC d/b/a aha!</t>
  </si>
  <si>
    <t>ExpressJet Airlines LLC d/b/a aha!: EV</t>
  </si>
  <si>
    <t>EV</t>
  </si>
  <si>
    <t>TUL</t>
  </si>
  <si>
    <t>Tulsa, OK</t>
  </si>
  <si>
    <t>USA</t>
  </si>
  <si>
    <t>Concord, NC</t>
  </si>
  <si>
    <t>SFB</t>
  </si>
  <si>
    <t>Sanford, FL</t>
  </si>
  <si>
    <t>RNO</t>
  </si>
  <si>
    <t>Reno, NV</t>
  </si>
  <si>
    <t>ABQ</t>
  </si>
  <si>
    <t>Albuquerque, NM</t>
  </si>
  <si>
    <t>SLC</t>
  </si>
  <si>
    <t>Salt Lake City, UT</t>
  </si>
  <si>
    <t>SkyWest Airlines Inc.</t>
  </si>
  <si>
    <t>SkyWest Airlines Inc.: OO</t>
  </si>
  <si>
    <t>OO</t>
  </si>
  <si>
    <t>BOI</t>
  </si>
  <si>
    <t>Boise, ID</t>
  </si>
  <si>
    <t>MCI</t>
  </si>
  <si>
    <t>Kansas City, MO</t>
  </si>
  <si>
    <t>AUS</t>
  </si>
  <si>
    <t>Austin, TX</t>
  </si>
  <si>
    <t>IND</t>
  </si>
  <si>
    <t>Indianapolis, IN</t>
  </si>
  <si>
    <t>TPA</t>
  </si>
  <si>
    <t>Tampa, FL</t>
  </si>
  <si>
    <t>BIL</t>
  </si>
  <si>
    <t>Billings, MT</t>
  </si>
  <si>
    <t>MHT</t>
  </si>
  <si>
    <t>Manchester, NH</t>
  </si>
  <si>
    <t>TUS</t>
  </si>
  <si>
    <t>Tucson, AZ</t>
  </si>
  <si>
    <t>Endeavor Air Inc.</t>
  </si>
  <si>
    <t>Endeavor Air Inc.: 9E</t>
  </si>
  <si>
    <t>9E</t>
  </si>
  <si>
    <t>DTW</t>
  </si>
  <si>
    <t>Detroit, MI</t>
  </si>
  <si>
    <t>DAB</t>
  </si>
  <si>
    <t>Daytona Beach, FL</t>
  </si>
  <si>
    <t>B</t>
  </si>
  <si>
    <t>PRC</t>
  </si>
  <si>
    <t>Prescott, AZ</t>
  </si>
  <si>
    <t>LGA</t>
  </si>
  <si>
    <t>SMF</t>
  </si>
  <si>
    <t>Sacramento, CA</t>
  </si>
  <si>
    <t>SAT</t>
  </si>
  <si>
    <t>San Antonio, TX</t>
  </si>
  <si>
    <t>Envoy Air</t>
  </si>
  <si>
    <t>Envoy Air: MQ</t>
  </si>
  <si>
    <t>MQ</t>
  </si>
  <si>
    <t>CMH</t>
  </si>
  <si>
    <t>Columbus, OH</t>
  </si>
  <si>
    <t>STL</t>
  </si>
  <si>
    <t>St. Louis, MO</t>
  </si>
  <si>
    <t>Frontier Airlines Inc.</t>
  </si>
  <si>
    <t>Frontier Airlines Inc.: F9</t>
  </si>
  <si>
    <t>F9</t>
  </si>
  <si>
    <t>SJU</t>
  </si>
  <si>
    <t>San Juan, PR</t>
  </si>
  <si>
    <t>SAN</t>
  </si>
  <si>
    <t>San Diego, CA</t>
  </si>
  <si>
    <t>RSW</t>
  </si>
  <si>
    <t>Fort Myers, FL</t>
  </si>
  <si>
    <t>Mesa Airlines Inc.</t>
  </si>
  <si>
    <t>Mesa Airlines Inc.: YV</t>
  </si>
  <si>
    <t>YV</t>
  </si>
  <si>
    <t>PHX</t>
  </si>
  <si>
    <t>Phoenix, AZ</t>
  </si>
  <si>
    <t>ELP</t>
  </si>
  <si>
    <t>El Paso, TX</t>
  </si>
  <si>
    <t>PHL</t>
  </si>
  <si>
    <t>Philadelphia, PA</t>
  </si>
  <si>
    <t>PWM</t>
  </si>
  <si>
    <t>Portland, ME</t>
  </si>
  <si>
    <t>GRK</t>
  </si>
  <si>
    <t>Killeen, TX</t>
  </si>
  <si>
    <t>SBP</t>
  </si>
  <si>
    <t>San Luis Obispo, CA</t>
  </si>
  <si>
    <t>ILM</t>
  </si>
  <si>
    <t>Wilmington, NC</t>
  </si>
  <si>
    <t>KOA</t>
  </si>
  <si>
    <t>Kona, HI</t>
  </si>
  <si>
    <t>GSP</t>
  </si>
  <si>
    <t>Greer, SC</t>
  </si>
  <si>
    <t>VLD</t>
  </si>
  <si>
    <t>Valdosta, GA</t>
  </si>
  <si>
    <t>MIA</t>
  </si>
  <si>
    <t>Miami, FL</t>
  </si>
  <si>
    <t>JLN</t>
  </si>
  <si>
    <t>Joplin, MO</t>
  </si>
  <si>
    <t>MKE</t>
  </si>
  <si>
    <t>Milwaukee, WI</t>
  </si>
  <si>
    <t>BLI</t>
  </si>
  <si>
    <t>Bellingham, WA</t>
  </si>
  <si>
    <t>PSP</t>
  </si>
  <si>
    <t>Palm Springs, CA</t>
  </si>
  <si>
    <t>RIC</t>
  </si>
  <si>
    <t>Richmond, VA</t>
  </si>
  <si>
    <t>OAK</t>
  </si>
  <si>
    <t>Oakland, CA</t>
  </si>
  <si>
    <t>GSO</t>
  </si>
  <si>
    <t>Greensboro/High Point, NC</t>
  </si>
  <si>
    <t>BHM</t>
  </si>
  <si>
    <t>Birmingham, AL</t>
  </si>
  <si>
    <t>PDX</t>
  </si>
  <si>
    <t>Portland, OR</t>
  </si>
  <si>
    <t>MFR</t>
  </si>
  <si>
    <t>Medford, OR</t>
  </si>
  <si>
    <t>SDF</t>
  </si>
  <si>
    <t>Louisville, KY</t>
  </si>
  <si>
    <t>MFE</t>
  </si>
  <si>
    <t>Mission/McAllen/Edinburg, TX</t>
  </si>
  <si>
    <t>VPS</t>
  </si>
  <si>
    <t>Valparaiso, FL</t>
  </si>
  <si>
    <t>HPN</t>
  </si>
  <si>
    <t>White Plains, NY</t>
  </si>
  <si>
    <t>ORF</t>
  </si>
  <si>
    <t>Norfolk, VA</t>
  </si>
  <si>
    <t>Horizon Air</t>
  </si>
  <si>
    <t>Horizon Air: QX</t>
  </si>
  <si>
    <t>QX</t>
  </si>
  <si>
    <t>ASE</t>
  </si>
  <si>
    <t>Aspen, CO</t>
  </si>
  <si>
    <t>HNL</t>
  </si>
  <si>
    <t>Honolulu, HI</t>
  </si>
  <si>
    <t>MAF</t>
  </si>
  <si>
    <t>Midland/Odessa, TX</t>
  </si>
  <si>
    <t>PIT</t>
  </si>
  <si>
    <t>Pittsburgh, PA</t>
  </si>
  <si>
    <t>PIE</t>
  </si>
  <si>
    <t>St. Petersburg, FL</t>
  </si>
  <si>
    <t>OMA</t>
  </si>
  <si>
    <t>Omaha, NE</t>
  </si>
  <si>
    <t>BUR</t>
  </si>
  <si>
    <t>Burbank, CA</t>
  </si>
  <si>
    <t>BUF</t>
  </si>
  <si>
    <t>Buffalo, NY</t>
  </si>
  <si>
    <t>CID</t>
  </si>
  <si>
    <t>Cedar Rapids/Iowa City, IA</t>
  </si>
  <si>
    <t>EGE</t>
  </si>
  <si>
    <t>Eagle, CO</t>
  </si>
  <si>
    <t>ALB</t>
  </si>
  <si>
    <t>Albany, NY</t>
  </si>
  <si>
    <t>SYR</t>
  </si>
  <si>
    <t>Syracuse, NY</t>
  </si>
  <si>
    <t>MSN</t>
  </si>
  <si>
    <t>Madison, WI</t>
  </si>
  <si>
    <t>EWN</t>
  </si>
  <si>
    <t>New Bern/Morehead/Beaufort, NC</t>
  </si>
  <si>
    <t>FAT</t>
  </si>
  <si>
    <t>Fresno, CA</t>
  </si>
  <si>
    <t>AVL</t>
  </si>
  <si>
    <t>Asheville, NC</t>
  </si>
  <si>
    <t>FWA</t>
  </si>
  <si>
    <t>Fort Wayne, IN</t>
  </si>
  <si>
    <t>LAN</t>
  </si>
  <si>
    <t>Lansing, MI</t>
  </si>
  <si>
    <t>ABI</t>
  </si>
  <si>
    <t>Abilene, TX</t>
  </si>
  <si>
    <t>BQN</t>
  </si>
  <si>
    <t>Aguadilla, PR</t>
  </si>
  <si>
    <t>ICT</t>
  </si>
  <si>
    <t>Wichita, KS</t>
  </si>
  <si>
    <t>MOB</t>
  </si>
  <si>
    <t>Mobile, AL</t>
  </si>
  <si>
    <t>CMI</t>
  </si>
  <si>
    <t>Champaign/Urbana, IL</t>
  </si>
  <si>
    <t>A</t>
  </si>
  <si>
    <t>EUG</t>
  </si>
  <si>
    <t>Eugene, OR</t>
  </si>
  <si>
    <t>CHA</t>
  </si>
  <si>
    <t>Chattanooga, TN</t>
  </si>
  <si>
    <t>BTV</t>
  </si>
  <si>
    <t>Burlington, VT</t>
  </si>
  <si>
    <t>SNA</t>
  </si>
  <si>
    <t>Santa Ana, CA</t>
  </si>
  <si>
    <t>Hawaiian Airlines Inc.</t>
  </si>
  <si>
    <t>Hawaiian Airlines Inc.: HA</t>
  </si>
  <si>
    <t>HA</t>
  </si>
  <si>
    <t>OGG</t>
  </si>
  <si>
    <t>Kahului, HI</t>
  </si>
  <si>
    <t>HRL</t>
  </si>
  <si>
    <t>Harlingen/San Benito, TX</t>
  </si>
  <si>
    <t>HLN</t>
  </si>
  <si>
    <t>Helena, MT</t>
  </si>
  <si>
    <t>HOU</t>
  </si>
  <si>
    <t>BIS</t>
  </si>
  <si>
    <t>Bismarck/Mandan, ND</t>
  </si>
  <si>
    <t>MEM</t>
  </si>
  <si>
    <t>Memphis, TN</t>
  </si>
  <si>
    <t>SHR</t>
  </si>
  <si>
    <t>Sheridan, WY</t>
  </si>
  <si>
    <t>LGB</t>
  </si>
  <si>
    <t>Long Beach, CA</t>
  </si>
  <si>
    <t>SAV</t>
  </si>
  <si>
    <t>Savannah, GA</t>
  </si>
  <si>
    <t>GFK</t>
  </si>
  <si>
    <t>Grand Forks, ND</t>
  </si>
  <si>
    <t>CVG</t>
  </si>
  <si>
    <t>Cincinnati, OH</t>
  </si>
  <si>
    <t>LIH</t>
  </si>
  <si>
    <t>Lihue, HI</t>
  </si>
  <si>
    <t>SGU</t>
  </si>
  <si>
    <t>St. George, UT</t>
  </si>
  <si>
    <t>MLB</t>
  </si>
  <si>
    <t>Melbourne, FL</t>
  </si>
  <si>
    <t>TLH</t>
  </si>
  <si>
    <t>Tallahassee, FL</t>
  </si>
  <si>
    <t>GRB</t>
  </si>
  <si>
    <t>Green Bay, WI</t>
  </si>
  <si>
    <t>CRW</t>
  </si>
  <si>
    <t>Charleston/Dunbar, WV</t>
  </si>
  <si>
    <t>PVD</t>
  </si>
  <si>
    <t>Providence, RI</t>
  </si>
  <si>
    <t>YAK</t>
  </si>
  <si>
    <t>Yakutat, AK</t>
  </si>
  <si>
    <t>CDV</t>
  </si>
  <si>
    <t>Cordova, AK</t>
  </si>
  <si>
    <t>MSO</t>
  </si>
  <si>
    <t>Missoula, MT</t>
  </si>
  <si>
    <t>STS</t>
  </si>
  <si>
    <t>Santa Rosa, CA</t>
  </si>
  <si>
    <t>SPS</t>
  </si>
  <si>
    <t>Wichita Falls, TX</t>
  </si>
  <si>
    <t>FSD</t>
  </si>
  <si>
    <t>Sioux Falls, SD</t>
  </si>
  <si>
    <t>EYW</t>
  </si>
  <si>
    <t>Key West, FL</t>
  </si>
  <si>
    <t>HYS</t>
  </si>
  <si>
    <t>Hays, KS</t>
  </si>
  <si>
    <t>PBI</t>
  </si>
  <si>
    <t>West Palm Beach/Palm Beach, FL</t>
  </si>
  <si>
    <t>ROC</t>
  </si>
  <si>
    <t>Rochester, NY</t>
  </si>
  <si>
    <t>CLE</t>
  </si>
  <si>
    <t>Cleveland, OH</t>
  </si>
  <si>
    <t>RDD</t>
  </si>
  <si>
    <t>Redding, CA</t>
  </si>
  <si>
    <t>ANC</t>
  </si>
  <si>
    <t>Anchorage, AK</t>
  </si>
  <si>
    <t>DVL</t>
  </si>
  <si>
    <t>Devils Lake, ND</t>
  </si>
  <si>
    <t>SWO</t>
  </si>
  <si>
    <t>Stillwater, OK</t>
  </si>
  <si>
    <t>PIR</t>
  </si>
  <si>
    <t>Pierre, SD</t>
  </si>
  <si>
    <t>HDN</t>
  </si>
  <si>
    <t>Hayden, CO</t>
  </si>
  <si>
    <t>MLI</t>
  </si>
  <si>
    <t>Moline, IL</t>
  </si>
  <si>
    <t>AZA</t>
  </si>
  <si>
    <t>BZN</t>
  </si>
  <si>
    <t>Bozeman, MT</t>
  </si>
  <si>
    <t>FSM</t>
  </si>
  <si>
    <t>Fort Smith, AR</t>
  </si>
  <si>
    <t>MKG</t>
  </si>
  <si>
    <t>Muskegon, MI</t>
  </si>
  <si>
    <t>BRD</t>
  </si>
  <si>
    <t>Brainerd, MN</t>
  </si>
  <si>
    <t>JNU</t>
  </si>
  <si>
    <t>Juneau, AK</t>
  </si>
  <si>
    <t>ROW</t>
  </si>
  <si>
    <t>Roswell, NM</t>
  </si>
  <si>
    <t>PSC</t>
  </si>
  <si>
    <t>Pasco/Kennewick/Richland, WA</t>
  </si>
  <si>
    <t>MYR</t>
  </si>
  <si>
    <t>Myrtle Beach, SC</t>
  </si>
  <si>
    <t>GTF</t>
  </si>
  <si>
    <t>Great Falls, MT</t>
  </si>
  <si>
    <t>LSE</t>
  </si>
  <si>
    <t>La Crosse, WI</t>
  </si>
  <si>
    <t>RDM</t>
  </si>
  <si>
    <t>Bend/Redmond, OR</t>
  </si>
  <si>
    <t>MQT</t>
  </si>
  <si>
    <t>Marquette, MI</t>
  </si>
  <si>
    <t>Delay_status</t>
  </si>
  <si>
    <t>Flight_Month</t>
  </si>
  <si>
    <t>Delay_category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</si>
</sst>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746DE1-FB32-4161-8A7C-4D54C2495A23}" autoFormatId="16" applyNumberFormats="0" applyBorderFormats="0" applyFontFormats="0" applyPatternFormats="0" applyAlignmentFormats="0" applyWidthHeightFormats="0">
  <queryTableRefresh nextId="36">
    <queryTableFields count="35">
      <queryTableField id="1" name="FL_DATE" tableColumnId="1"/>
      <queryTableField id="35" dataBound="0" tableColumnId="35"/>
      <queryTableField id="2" name="AIRLINE" tableColumnId="2"/>
      <queryTableField id="3" name="AIRLINE_DOT" tableColumnId="3"/>
      <queryTableField id="4" name="AIRLINE_CODE" tableColumnId="4"/>
      <queryTableField id="5" name="DOT_CODE" tableColumnId="5"/>
      <queryTableField id="6" name="FL_NUMBER" tableColumnId="6"/>
      <queryTableField id="7" name="ORIGIN" tableColumnId="7"/>
      <queryTableField id="8" name="ORIGIN_CITY" tableColumnId="8"/>
      <queryTableField id="9" name="DEST" tableColumnId="9"/>
      <queryTableField id="10" name="DEST_CITY" tableColumnId="10"/>
      <queryTableField id="11" name="CRS_DEP_TIME" tableColumnId="11"/>
      <queryTableField id="12" name="DEP_TIME" tableColumnId="12"/>
      <queryTableField id="13" name="DEP_DELAY" tableColumnId="13"/>
      <queryTableField id="34" dataBound="0" tableColumnId="34"/>
      <queryTableField id="33" dataBound="0" tableColumnId="33"/>
      <queryTableField id="14" name="TAXI_OUT" tableColumnId="14"/>
      <queryTableField id="15" name="WHEELS_OFF" tableColumnId="15"/>
      <queryTableField id="16" name="WHEELS_ON" tableColumnId="16"/>
      <queryTableField id="17" name="TAXI_IN" tableColumnId="17"/>
      <queryTableField id="18" name="CRS_ARR_TIME" tableColumnId="18"/>
      <queryTableField id="19" name="ARR_TIME" tableColumnId="19"/>
      <queryTableField id="20" name="ARR_DELAY" tableColumnId="20"/>
      <queryTableField id="21" name="CANCELLED" tableColumnId="21"/>
      <queryTableField id="22" name="CANCELLATION_CODE" tableColumnId="22"/>
      <queryTableField id="23" name="DIVERTED" tableColumnId="23"/>
      <queryTableField id="24" name="CRS_ELAPSED_TIME" tableColumnId="24"/>
      <queryTableField id="25" name="ELAPSED_TIME" tableColumnId="25"/>
      <queryTableField id="26" name="AIR_TIME" tableColumnId="26"/>
      <queryTableField id="27" name="DISTANCE" tableColumnId="27"/>
      <queryTableField id="28" name="DELAY_DUE_CARRIER" tableColumnId="28"/>
      <queryTableField id="29" name="DELAY_DUE_WEATHER" tableColumnId="29"/>
      <queryTableField id="30" name="DELAY_DUE_NAS" tableColumnId="30"/>
      <queryTableField id="31" name="DELAY_DUE_SECURITY" tableColumnId="31"/>
      <queryTableField id="32" name="DELAY_DUE_LATE_AIRCRAFT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53237-49E5-4FFE-9088-F9277BF1E6A5}" name="flights_sample_3m" displayName="flights_sample_3m" ref="A1:AI501" tableType="queryTable" totalsRowShown="0">
  <autoFilter ref="A1:AI501" xr:uid="{9BF53237-49E5-4FFE-9088-F9277BF1E6A5}"/>
  <tableColumns count="35">
    <tableColumn id="1" xr3:uid="{2AC44AB5-73BA-4B54-9E66-988032570CDE}" uniqueName="1" name="FL_DATE" queryTableFieldId="1" dataDxfId="13"/>
    <tableColumn id="35" xr3:uid="{12616CE2-7B43-4890-80F8-9A473D65FBAF}" uniqueName="35" name="Flight_Month" queryTableFieldId="35" dataDxfId="12">
      <calculatedColumnFormula>TEXT(flights_sample_3m[[#This Row],[FL_DATE]],"yyyy-mm")</calculatedColumnFormula>
    </tableColumn>
    <tableColumn id="2" xr3:uid="{9EB06897-9A1A-4985-84A1-4BB8986F10D6}" uniqueName="2" name="AIRLINE" queryTableFieldId="2" dataDxfId="11"/>
    <tableColumn id="3" xr3:uid="{E75B095F-AC1D-48D3-9AAC-929987ECD609}" uniqueName="3" name="AIRLINE_DOT" queryTableFieldId="3" dataDxfId="10"/>
    <tableColumn id="4" xr3:uid="{40344237-F9A9-4C2D-AD07-957D3AF8CB74}" uniqueName="4" name="AIRLINE_CODE" queryTableFieldId="4" dataDxfId="9"/>
    <tableColumn id="5" xr3:uid="{2D572D6C-71E3-4EF8-9DB1-8AE0D3067C7B}" uniqueName="5" name="DOT_CODE" queryTableFieldId="5"/>
    <tableColumn id="6" xr3:uid="{545C5DD5-22B2-4E06-934E-04DFF6DC13BB}" uniqueName="6" name="FL_NUMBER" queryTableFieldId="6"/>
    <tableColumn id="7" xr3:uid="{9773DB43-5220-4C33-B67D-7FAFFCA03D77}" uniqueName="7" name="ORIGIN" queryTableFieldId="7" dataDxfId="8"/>
    <tableColumn id="8" xr3:uid="{C3D8EEF1-6E33-4B22-BA29-9AC5D4E4FD44}" uniqueName="8" name="ORIGIN_CITY" queryTableFieldId="8" dataDxfId="7"/>
    <tableColumn id="9" xr3:uid="{0A87BFF6-904A-449B-914F-5ABC7FD27480}" uniqueName="9" name="DEST" queryTableFieldId="9" dataDxfId="6"/>
    <tableColumn id="10" xr3:uid="{52916BE5-D2AF-4CA1-8A02-B6935DAC7560}" uniqueName="10" name="DEST_CITY" queryTableFieldId="10" dataDxfId="5"/>
    <tableColumn id="11" xr3:uid="{93B93759-0734-41FD-AAC2-E90F5795B81A}" uniqueName="11" name="CRS_DEP_TIME" queryTableFieldId="11"/>
    <tableColumn id="12" xr3:uid="{5AA09AE2-41A6-43E7-B49F-E1D728FDCB6E}" uniqueName="12" name="DEP_TIME" queryTableFieldId="12" dataDxfId="4"/>
    <tableColumn id="13" xr3:uid="{72E5CFAA-CA84-4F60-BC6C-3D0C879478CF}" uniqueName="13" name="DEP_DELAY" queryTableFieldId="13"/>
    <tableColumn id="34" xr3:uid="{4FE52CF9-9EA8-4055-AB23-018F0DC49BC5}" uniqueName="34" name="Delay_category" queryTableFieldId="34" dataDxfId="3">
      <calculatedColumnFormula>IF(flights_sample_3m[[#This Row],[DEP_DELAY]]&lt;=15,"No delay",IF(flights_sample_3m[[#This Row],[DEP_DELAY]]&lt;=60,"Short Delay","Long Delay"))</calculatedColumnFormula>
    </tableColumn>
    <tableColumn id="33" xr3:uid="{0A51860B-E350-4B0A-A7B4-B643D4D96C91}" uniqueName="33" name="Delay_status" queryTableFieldId="33" dataDxfId="2">
      <calculatedColumnFormula>IF(flights_sample_3m[[#This Row],[DEP_DELAY]]&lt;=15,"Delayed","On Time")</calculatedColumnFormula>
    </tableColumn>
    <tableColumn id="14" xr3:uid="{873C5440-499B-4039-90EC-356D2FDD2AD3}" uniqueName="14" name="TAXI_OUT" queryTableFieldId="14"/>
    <tableColumn id="15" xr3:uid="{A06E3346-F76B-4BA6-9AC1-8A7F7A897E8B}" uniqueName="15" name="WHEELS_OFF" queryTableFieldId="15"/>
    <tableColumn id="16" xr3:uid="{511F4BBF-F9EE-4CB2-8C20-116BB27B2169}" uniqueName="16" name="WHEELS_ON" queryTableFieldId="16"/>
    <tableColumn id="17" xr3:uid="{F00BD061-9C75-4D9E-B9CE-E49B707C7115}" uniqueName="17" name="TAXI_IN" queryTableFieldId="17"/>
    <tableColumn id="18" xr3:uid="{6638601C-7568-45EA-8112-1A730892B409}" uniqueName="18" name="CRS_ARR_TIME" queryTableFieldId="18"/>
    <tableColumn id="19" xr3:uid="{FE56079C-4E0D-42E5-992F-7668CBD8BCAC}" uniqueName="19" name="ARR_TIME" queryTableFieldId="19" dataDxfId="1"/>
    <tableColumn id="20" xr3:uid="{1B99F933-CA87-4D69-B875-72A78604149B}" uniqueName="20" name="ARR_DELAY" queryTableFieldId="20"/>
    <tableColumn id="21" xr3:uid="{0DB588E4-F3B6-4823-962E-39E4D9343921}" uniqueName="21" name="CANCELLED" queryTableFieldId="21"/>
    <tableColumn id="22" xr3:uid="{267EED7F-1BF6-41BC-ADE3-9E0A14121582}" uniqueName="22" name="CANCELLATION_CODE" queryTableFieldId="22" dataDxfId="0"/>
    <tableColumn id="23" xr3:uid="{ED55D6E6-9310-4C51-AEAA-00C0ACC06DC9}" uniqueName="23" name="DIVERTED" queryTableFieldId="23"/>
    <tableColumn id="24" xr3:uid="{25E0F08F-8E7C-4D1B-9F59-708BC2E41C84}" uniqueName="24" name="CRS_ELAPSED_TIME" queryTableFieldId="24"/>
    <tableColumn id="25" xr3:uid="{051AEA18-D192-434C-A450-33DBA8A637D4}" uniqueName="25" name="ELAPSED_TIME" queryTableFieldId="25"/>
    <tableColumn id="26" xr3:uid="{E8F7E361-85E7-4757-8DDF-ACEC227FDD23}" uniqueName="26" name="AIR_TIME" queryTableFieldId="26"/>
    <tableColumn id="27" xr3:uid="{9C4C54C9-4F61-4CC4-A0A5-A012B74DB35F}" uniqueName="27" name="DISTANCE" queryTableFieldId="27"/>
    <tableColumn id="28" xr3:uid="{65850B6B-872C-4155-97FB-6BEAC33BB4B2}" uniqueName="28" name="DELAY_DUE_CARRIER" queryTableFieldId="28"/>
    <tableColumn id="29" xr3:uid="{54AA7B3F-34E2-4785-9AC3-4B2AD59D214F}" uniqueName="29" name="DELAY_DUE_WEATHER" queryTableFieldId="29"/>
    <tableColumn id="30" xr3:uid="{EA9525C8-3B77-44A1-8533-E958EFA51552}" uniqueName="30" name="DELAY_DUE_NAS" queryTableFieldId="30"/>
    <tableColumn id="31" xr3:uid="{C33BDFCD-B9D3-4D38-8291-CD6E16852A0E}" uniqueName="31" name="DELAY_DUE_SECURITY" queryTableFieldId="31"/>
    <tableColumn id="32" xr3:uid="{38CA4F6F-514B-49D8-B03A-15E3AF02F674}" uniqueName="32" name="DELAY_DUE_LATE_AIRCRAFT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7611-685C-48B6-A5B4-836417AF9B1C}">
  <dimension ref="A1:AI501"/>
  <sheetViews>
    <sheetView tabSelected="1" topLeftCell="A2" workbookViewId="0">
      <selection activeCell="M7" sqref="M7"/>
    </sheetView>
  </sheetViews>
  <sheetFormatPr defaultRowHeight="14.4" x14ac:dyDescent="0.3"/>
  <cols>
    <col min="1" max="1" width="10.44140625" style="1" bestFit="1" customWidth="1"/>
    <col min="2" max="2" width="10.44140625" style="1" customWidth="1"/>
    <col min="3" max="3" width="28.6640625" bestFit="1" customWidth="1"/>
    <col min="4" max="4" width="31.88671875" bestFit="1" customWidth="1"/>
    <col min="5" max="5" width="15.6640625" bestFit="1" customWidth="1"/>
    <col min="6" max="6" width="12.44140625" bestFit="1" customWidth="1"/>
    <col min="7" max="7" width="13.6640625" bestFit="1" customWidth="1"/>
    <col min="8" max="8" width="9.33203125" bestFit="1" customWidth="1"/>
    <col min="9" max="9" width="28.44140625" bestFit="1" customWidth="1"/>
    <col min="10" max="10" width="7.44140625" bestFit="1" customWidth="1"/>
    <col min="11" max="11" width="30.109375" bestFit="1" customWidth="1"/>
    <col min="12" max="12" width="16.21875" bestFit="1" customWidth="1"/>
    <col min="13" max="13" width="11.88671875" style="2" bestFit="1" customWidth="1"/>
    <col min="14" max="14" width="12.88671875" bestFit="1" customWidth="1"/>
    <col min="15" max="16" width="12.88671875" customWidth="1"/>
    <col min="17" max="17" width="11.77734375" bestFit="1" customWidth="1"/>
    <col min="18" max="18" width="14.21875" bestFit="1" customWidth="1"/>
    <col min="19" max="19" width="13.77734375" bestFit="1" customWidth="1"/>
    <col min="20" max="20" width="10" bestFit="1" customWidth="1"/>
    <col min="21" max="21" width="16.33203125" bestFit="1" customWidth="1"/>
    <col min="22" max="22" width="12" style="2" bestFit="1" customWidth="1"/>
    <col min="23" max="24" width="13" bestFit="1" customWidth="1"/>
    <col min="25" max="25" width="22.109375" bestFit="1" customWidth="1"/>
    <col min="26" max="26" width="11.5546875" bestFit="1" customWidth="1"/>
    <col min="27" max="27" width="20.44140625" bestFit="1" customWidth="1"/>
    <col min="28" max="28" width="16.109375" bestFit="1" customWidth="1"/>
    <col min="29" max="29" width="11.44140625" bestFit="1" customWidth="1"/>
    <col min="30" max="30" width="11.6640625" bestFit="1" customWidth="1"/>
    <col min="31" max="31" width="21.5546875" bestFit="1" customWidth="1"/>
    <col min="32" max="32" width="22.6640625" bestFit="1" customWidth="1"/>
    <col min="33" max="33" width="17.77734375" bestFit="1" customWidth="1"/>
    <col min="34" max="34" width="22.44140625" bestFit="1" customWidth="1"/>
    <col min="35" max="35" width="27.88671875" bestFit="1" customWidth="1"/>
  </cols>
  <sheetData>
    <row r="1" spans="1:35" x14ac:dyDescent="0.3">
      <c r="A1" s="1" t="s">
        <v>0</v>
      </c>
      <c r="B1" s="1" t="s">
        <v>411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11</v>
      </c>
      <c r="N1" t="s">
        <v>12</v>
      </c>
      <c r="O1" t="s">
        <v>412</v>
      </c>
      <c r="P1" t="s">
        <v>410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s="2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</row>
    <row r="2" spans="1:35" x14ac:dyDescent="0.3">
      <c r="A2" s="1">
        <v>43474</v>
      </c>
      <c r="B2" s="1" t="str">
        <f>TEXT(flights_sample_3m[[#This Row],[FL_DATE]],"yyyy-mm")</f>
        <v>2019-01</v>
      </c>
      <c r="C2" t="s">
        <v>32</v>
      </c>
      <c r="D2" t="s">
        <v>33</v>
      </c>
      <c r="E2" t="s">
        <v>34</v>
      </c>
      <c r="F2">
        <v>19977</v>
      </c>
      <c r="G2">
        <v>1562</v>
      </c>
      <c r="H2" t="s">
        <v>35</v>
      </c>
      <c r="I2" t="s">
        <v>36</v>
      </c>
      <c r="J2" t="s">
        <v>37</v>
      </c>
      <c r="K2" t="s">
        <v>38</v>
      </c>
      <c r="L2">
        <v>1155</v>
      </c>
      <c r="M2" s="2">
        <v>1151</v>
      </c>
      <c r="N2">
        <v>-4</v>
      </c>
      <c r="O2" t="str">
        <f>IF(flights_sample_3m[[#This Row],[DEP_DELAY]]&lt;=15,"No delay",IF(flights_sample_3m[[#This Row],[DEP_DELAY]]&lt;=60,"Short Delay","Long Delay"))</f>
        <v>No delay</v>
      </c>
      <c r="P2" t="str">
        <f>IF(flights_sample_3m[[#This Row],[DEP_DELAY]]&lt;=15,"Delayed","On Time")</f>
        <v>Delayed</v>
      </c>
      <c r="Q2">
        <v>19</v>
      </c>
      <c r="R2">
        <v>1210</v>
      </c>
      <c r="S2">
        <v>1443</v>
      </c>
      <c r="T2">
        <v>4</v>
      </c>
      <c r="U2">
        <v>1501</v>
      </c>
      <c r="V2" s="2">
        <v>1447</v>
      </c>
      <c r="W2">
        <v>-14</v>
      </c>
      <c r="X2">
        <v>0</v>
      </c>
      <c r="Y2">
        <v>0</v>
      </c>
      <c r="Z2">
        <v>0</v>
      </c>
      <c r="AA2">
        <v>186</v>
      </c>
      <c r="AB2">
        <v>176</v>
      </c>
      <c r="AC2">
        <v>153</v>
      </c>
      <c r="AD2">
        <v>1065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3">
      <c r="A3" s="1">
        <v>44884</v>
      </c>
      <c r="B3" s="1" t="str">
        <f>TEXT(flights_sample_3m[[#This Row],[FL_DATE]],"yyyy-mm")</f>
        <v>2022-11</v>
      </c>
      <c r="C3" t="s">
        <v>39</v>
      </c>
      <c r="D3" t="s">
        <v>40</v>
      </c>
      <c r="E3" t="s">
        <v>41</v>
      </c>
      <c r="F3">
        <v>19790</v>
      </c>
      <c r="G3">
        <v>1149</v>
      </c>
      <c r="H3" t="s">
        <v>42</v>
      </c>
      <c r="I3" t="s">
        <v>43</v>
      </c>
      <c r="J3" t="s">
        <v>44</v>
      </c>
      <c r="K3" t="s">
        <v>45</v>
      </c>
      <c r="L3">
        <v>2120</v>
      </c>
      <c r="M3" s="2">
        <v>2114</v>
      </c>
      <c r="N3">
        <v>-6</v>
      </c>
      <c r="O3" t="str">
        <f>IF(flights_sample_3m[[#This Row],[DEP_DELAY]]&lt;=15,"No delay",IF(flights_sample_3m[[#This Row],[DEP_DELAY]]&lt;=60,"Short Delay","Long Delay"))</f>
        <v>No delay</v>
      </c>
      <c r="P3" t="str">
        <f>IF(flights_sample_3m[[#This Row],[DEP_DELAY]]&lt;=15,"Delayed","On Time")</f>
        <v>Delayed</v>
      </c>
      <c r="Q3">
        <v>9</v>
      </c>
      <c r="R3">
        <v>2123</v>
      </c>
      <c r="S3">
        <v>2232</v>
      </c>
      <c r="T3">
        <v>38</v>
      </c>
      <c r="U3">
        <v>2315</v>
      </c>
      <c r="V3" s="2">
        <v>2310</v>
      </c>
      <c r="W3">
        <v>-5</v>
      </c>
      <c r="X3">
        <v>0</v>
      </c>
      <c r="Y3">
        <v>0</v>
      </c>
      <c r="Z3">
        <v>0</v>
      </c>
      <c r="AA3">
        <v>235</v>
      </c>
      <c r="AB3">
        <v>236</v>
      </c>
      <c r="AC3">
        <v>189</v>
      </c>
      <c r="AD3">
        <v>1399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s="1">
        <v>44764</v>
      </c>
      <c r="B4" s="1" t="str">
        <f>TEXT(flights_sample_3m[[#This Row],[FL_DATE]],"yyyy-mm")</f>
        <v>2022-07</v>
      </c>
      <c r="C4" t="s">
        <v>32</v>
      </c>
      <c r="D4" t="s">
        <v>33</v>
      </c>
      <c r="E4" t="s">
        <v>34</v>
      </c>
      <c r="F4">
        <v>19977</v>
      </c>
      <c r="G4">
        <v>459</v>
      </c>
      <c r="H4" t="s">
        <v>46</v>
      </c>
      <c r="I4" t="s">
        <v>47</v>
      </c>
      <c r="J4" t="s">
        <v>42</v>
      </c>
      <c r="K4" t="s">
        <v>43</v>
      </c>
      <c r="L4">
        <v>954</v>
      </c>
      <c r="M4" s="2">
        <v>1000</v>
      </c>
      <c r="N4">
        <v>6</v>
      </c>
      <c r="O4" t="str">
        <f>IF(flights_sample_3m[[#This Row],[DEP_DELAY]]&lt;=15,"No delay",IF(flights_sample_3m[[#This Row],[DEP_DELAY]]&lt;=60,"Short Delay","Long Delay"))</f>
        <v>No delay</v>
      </c>
      <c r="P4" t="str">
        <f>IF(flights_sample_3m[[#This Row],[DEP_DELAY]]&lt;=15,"Delayed","On Time")</f>
        <v>Delayed</v>
      </c>
      <c r="Q4">
        <v>20</v>
      </c>
      <c r="R4">
        <v>1020</v>
      </c>
      <c r="S4">
        <v>1247</v>
      </c>
      <c r="T4">
        <v>5</v>
      </c>
      <c r="U4">
        <v>1252</v>
      </c>
      <c r="V4" s="2">
        <v>1252</v>
      </c>
      <c r="W4">
        <v>0</v>
      </c>
      <c r="X4">
        <v>0</v>
      </c>
      <c r="Y4">
        <v>0</v>
      </c>
      <c r="Z4">
        <v>0</v>
      </c>
      <c r="AA4">
        <v>118</v>
      </c>
      <c r="AB4">
        <v>112</v>
      </c>
      <c r="AC4">
        <v>87</v>
      </c>
      <c r="AD4">
        <v>680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3">
      <c r="A5" s="1">
        <v>44991</v>
      </c>
      <c r="B5" s="1" t="str">
        <f>TEXT(flights_sample_3m[[#This Row],[FL_DATE]],"yyyy-mm")</f>
        <v>2023-03</v>
      </c>
      <c r="C5" t="s">
        <v>39</v>
      </c>
      <c r="D5" t="s">
        <v>40</v>
      </c>
      <c r="E5" t="s">
        <v>41</v>
      </c>
      <c r="F5">
        <v>19790</v>
      </c>
      <c r="G5">
        <v>2295</v>
      </c>
      <c r="H5" t="s">
        <v>42</v>
      </c>
      <c r="I5" t="s">
        <v>43</v>
      </c>
      <c r="J5" t="s">
        <v>48</v>
      </c>
      <c r="K5" t="s">
        <v>49</v>
      </c>
      <c r="L5">
        <v>1609</v>
      </c>
      <c r="M5" s="2">
        <v>1608</v>
      </c>
      <c r="N5">
        <v>-1</v>
      </c>
      <c r="O5" t="str">
        <f>IF(flights_sample_3m[[#This Row],[DEP_DELAY]]&lt;=15,"No delay",IF(flights_sample_3m[[#This Row],[DEP_DELAY]]&lt;=60,"Short Delay","Long Delay"))</f>
        <v>No delay</v>
      </c>
      <c r="P5" t="str">
        <f>IF(flights_sample_3m[[#This Row],[DEP_DELAY]]&lt;=15,"Delayed","On Time")</f>
        <v>Delayed</v>
      </c>
      <c r="Q5">
        <v>27</v>
      </c>
      <c r="R5">
        <v>1635</v>
      </c>
      <c r="S5">
        <v>1844</v>
      </c>
      <c r="T5">
        <v>9</v>
      </c>
      <c r="U5">
        <v>1829</v>
      </c>
      <c r="V5" s="2">
        <v>1853</v>
      </c>
      <c r="W5">
        <v>24</v>
      </c>
      <c r="X5">
        <v>0</v>
      </c>
      <c r="Y5">
        <v>0</v>
      </c>
      <c r="Z5">
        <v>0</v>
      </c>
      <c r="AA5">
        <v>260</v>
      </c>
      <c r="AB5">
        <v>285</v>
      </c>
      <c r="AC5">
        <v>249</v>
      </c>
      <c r="AD5">
        <v>1589</v>
      </c>
      <c r="AE5">
        <v>0</v>
      </c>
      <c r="AF5">
        <v>0</v>
      </c>
      <c r="AG5">
        <v>24</v>
      </c>
      <c r="AH5">
        <v>0</v>
      </c>
      <c r="AI5">
        <v>0</v>
      </c>
    </row>
    <row r="6" spans="1:35" x14ac:dyDescent="0.3">
      <c r="A6" s="1">
        <v>43884</v>
      </c>
      <c r="B6" s="1" t="str">
        <f>TEXT(flights_sample_3m[[#This Row],[FL_DATE]],"yyyy-mm")</f>
        <v>2020-02</v>
      </c>
      <c r="C6" t="s">
        <v>50</v>
      </c>
      <c r="D6" t="s">
        <v>51</v>
      </c>
      <c r="E6" t="s">
        <v>52</v>
      </c>
      <c r="F6">
        <v>20416</v>
      </c>
      <c r="G6">
        <v>407</v>
      </c>
      <c r="H6" t="s">
        <v>53</v>
      </c>
      <c r="I6" t="s">
        <v>54</v>
      </c>
      <c r="J6" t="s">
        <v>55</v>
      </c>
      <c r="K6" t="s">
        <v>56</v>
      </c>
      <c r="L6">
        <v>1840</v>
      </c>
      <c r="M6" s="2">
        <v>1838</v>
      </c>
      <c r="N6">
        <v>-2</v>
      </c>
      <c r="O6" t="str">
        <f>IF(flights_sample_3m[[#This Row],[DEP_DELAY]]&lt;=15,"No delay",IF(flights_sample_3m[[#This Row],[DEP_DELAY]]&lt;=60,"Short Delay","Long Delay"))</f>
        <v>No delay</v>
      </c>
      <c r="P6" t="str">
        <f>IF(flights_sample_3m[[#This Row],[DEP_DELAY]]&lt;=15,"Delayed","On Time")</f>
        <v>Delayed</v>
      </c>
      <c r="Q6">
        <v>15</v>
      </c>
      <c r="R6">
        <v>1853</v>
      </c>
      <c r="S6">
        <v>2026</v>
      </c>
      <c r="T6">
        <v>14</v>
      </c>
      <c r="U6">
        <v>2041</v>
      </c>
      <c r="V6" s="2">
        <v>2040</v>
      </c>
      <c r="W6">
        <v>-1</v>
      </c>
      <c r="X6">
        <v>0</v>
      </c>
      <c r="Y6">
        <v>0</v>
      </c>
      <c r="Z6">
        <v>0</v>
      </c>
      <c r="AA6">
        <v>181</v>
      </c>
      <c r="AB6">
        <v>182</v>
      </c>
      <c r="AC6">
        <v>153</v>
      </c>
      <c r="AD6">
        <v>985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 s="1">
        <v>43677</v>
      </c>
      <c r="B7" s="1" t="str">
        <f>TEXT(flights_sample_3m[[#This Row],[FL_DATE]],"yyyy-mm")</f>
        <v>2019-07</v>
      </c>
      <c r="C7" t="s">
        <v>57</v>
      </c>
      <c r="D7" t="s">
        <v>58</v>
      </c>
      <c r="E7" t="s">
        <v>59</v>
      </c>
      <c r="F7">
        <v>19393</v>
      </c>
      <c r="G7">
        <v>665</v>
      </c>
      <c r="H7" t="s">
        <v>60</v>
      </c>
      <c r="I7" t="s">
        <v>61</v>
      </c>
      <c r="J7" t="s">
        <v>62</v>
      </c>
      <c r="K7" t="s">
        <v>63</v>
      </c>
      <c r="L7">
        <v>1010</v>
      </c>
      <c r="M7" s="2">
        <v>1237</v>
      </c>
      <c r="N7">
        <v>147</v>
      </c>
      <c r="O7" t="str">
        <f>IF(flights_sample_3m[[#This Row],[DEP_DELAY]]&lt;=15,"No delay",IF(flights_sample_3m[[#This Row],[DEP_DELAY]]&lt;=60,"Short Delay","Long Delay"))</f>
        <v>Long Delay</v>
      </c>
      <c r="P7" t="str">
        <f>IF(flights_sample_3m[[#This Row],[DEP_DELAY]]&lt;=15,"Delayed","On Time")</f>
        <v>On Time</v>
      </c>
      <c r="Q7">
        <v>15</v>
      </c>
      <c r="R7">
        <v>1252</v>
      </c>
      <c r="S7">
        <v>1328</v>
      </c>
      <c r="T7">
        <v>3</v>
      </c>
      <c r="U7">
        <v>1110</v>
      </c>
      <c r="V7" s="2">
        <v>1331</v>
      </c>
      <c r="W7">
        <v>141</v>
      </c>
      <c r="X7">
        <v>0</v>
      </c>
      <c r="Y7">
        <v>0</v>
      </c>
      <c r="Z7">
        <v>0</v>
      </c>
      <c r="AA7">
        <v>60</v>
      </c>
      <c r="AB7">
        <v>54</v>
      </c>
      <c r="AC7">
        <v>36</v>
      </c>
      <c r="AD7">
        <v>181</v>
      </c>
      <c r="AE7">
        <v>141</v>
      </c>
      <c r="AF7">
        <v>0</v>
      </c>
      <c r="AG7">
        <v>0</v>
      </c>
      <c r="AH7">
        <v>0</v>
      </c>
      <c r="AI7">
        <v>0</v>
      </c>
    </row>
    <row r="8" spans="1:35" x14ac:dyDescent="0.3">
      <c r="A8" s="1">
        <v>45088</v>
      </c>
      <c r="B8" s="1" t="str">
        <f>TEXT(flights_sample_3m[[#This Row],[FL_DATE]],"yyyy-mm")</f>
        <v>2023-06</v>
      </c>
      <c r="C8" t="s">
        <v>64</v>
      </c>
      <c r="D8" t="s">
        <v>65</v>
      </c>
      <c r="E8" t="s">
        <v>66</v>
      </c>
      <c r="F8">
        <v>19805</v>
      </c>
      <c r="G8">
        <v>2134</v>
      </c>
      <c r="H8" t="s">
        <v>67</v>
      </c>
      <c r="I8" t="s">
        <v>68</v>
      </c>
      <c r="J8" t="s">
        <v>69</v>
      </c>
      <c r="K8" t="s">
        <v>70</v>
      </c>
      <c r="L8">
        <v>1010</v>
      </c>
      <c r="M8" s="2">
        <v>1001</v>
      </c>
      <c r="N8">
        <v>-9</v>
      </c>
      <c r="O8" t="str">
        <f>IF(flights_sample_3m[[#This Row],[DEP_DELAY]]&lt;=15,"No delay",IF(flights_sample_3m[[#This Row],[DEP_DELAY]]&lt;=60,"Short Delay","Long Delay"))</f>
        <v>No delay</v>
      </c>
      <c r="P8" t="str">
        <f>IF(flights_sample_3m[[#This Row],[DEP_DELAY]]&lt;=15,"Delayed","On Time")</f>
        <v>Delayed</v>
      </c>
      <c r="Q8">
        <v>23</v>
      </c>
      <c r="R8">
        <v>1024</v>
      </c>
      <c r="S8">
        <v>1122</v>
      </c>
      <c r="T8">
        <v>8</v>
      </c>
      <c r="U8">
        <v>1159</v>
      </c>
      <c r="V8" s="2">
        <v>1130</v>
      </c>
      <c r="W8">
        <v>-29</v>
      </c>
      <c r="X8">
        <v>0</v>
      </c>
      <c r="Y8">
        <v>0</v>
      </c>
      <c r="Z8">
        <v>0</v>
      </c>
      <c r="AA8">
        <v>109</v>
      </c>
      <c r="AB8">
        <v>89</v>
      </c>
      <c r="AC8">
        <v>58</v>
      </c>
      <c r="AD8">
        <v>399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s="1">
        <v>43654</v>
      </c>
      <c r="B9" s="1" t="str">
        <f>TEXT(flights_sample_3m[[#This Row],[FL_DATE]],"yyyy-mm")</f>
        <v>2019-07</v>
      </c>
      <c r="C9" t="s">
        <v>71</v>
      </c>
      <c r="D9" t="s">
        <v>72</v>
      </c>
      <c r="E9" t="s">
        <v>73</v>
      </c>
      <c r="F9">
        <v>20452</v>
      </c>
      <c r="G9">
        <v>4464</v>
      </c>
      <c r="H9" t="s">
        <v>74</v>
      </c>
      <c r="I9" t="s">
        <v>75</v>
      </c>
      <c r="J9" t="s">
        <v>67</v>
      </c>
      <c r="K9" t="s">
        <v>68</v>
      </c>
      <c r="L9">
        <v>1643</v>
      </c>
      <c r="M9" s="2">
        <v>1637</v>
      </c>
      <c r="N9">
        <v>-6</v>
      </c>
      <c r="O9" t="str">
        <f>IF(flights_sample_3m[[#This Row],[DEP_DELAY]]&lt;=15,"No delay",IF(flights_sample_3m[[#This Row],[DEP_DELAY]]&lt;=60,"Short Delay","Long Delay"))</f>
        <v>No delay</v>
      </c>
      <c r="P9" t="str">
        <f>IF(flights_sample_3m[[#This Row],[DEP_DELAY]]&lt;=15,"Delayed","On Time")</f>
        <v>Delayed</v>
      </c>
      <c r="Q9">
        <v>22</v>
      </c>
      <c r="R9">
        <v>1659</v>
      </c>
      <c r="S9">
        <v>1927</v>
      </c>
      <c r="T9">
        <v>41</v>
      </c>
      <c r="U9">
        <v>1945</v>
      </c>
      <c r="V9" s="2">
        <v>2008</v>
      </c>
      <c r="W9">
        <v>23</v>
      </c>
      <c r="X9">
        <v>0</v>
      </c>
      <c r="Y9">
        <v>0</v>
      </c>
      <c r="Z9">
        <v>0</v>
      </c>
      <c r="AA9">
        <v>122</v>
      </c>
      <c r="AB9">
        <v>151</v>
      </c>
      <c r="AC9">
        <v>88</v>
      </c>
      <c r="AD9">
        <v>613</v>
      </c>
      <c r="AE9">
        <v>0</v>
      </c>
      <c r="AF9">
        <v>0</v>
      </c>
      <c r="AG9">
        <v>23</v>
      </c>
      <c r="AH9">
        <v>0</v>
      </c>
      <c r="AI9">
        <v>0</v>
      </c>
    </row>
    <row r="10" spans="1:35" x14ac:dyDescent="0.3">
      <c r="A10" s="1">
        <v>44969</v>
      </c>
      <c r="B10" s="1" t="str">
        <f>TEXT(flights_sample_3m[[#This Row],[FL_DATE]],"yyyy-mm")</f>
        <v>2023-02</v>
      </c>
      <c r="C10" t="s">
        <v>50</v>
      </c>
      <c r="D10" t="s">
        <v>51</v>
      </c>
      <c r="E10" t="s">
        <v>52</v>
      </c>
      <c r="F10">
        <v>20416</v>
      </c>
      <c r="G10">
        <v>590</v>
      </c>
      <c r="H10" t="s">
        <v>76</v>
      </c>
      <c r="I10" t="s">
        <v>77</v>
      </c>
      <c r="J10" t="s">
        <v>78</v>
      </c>
      <c r="K10" t="s">
        <v>79</v>
      </c>
      <c r="L10">
        <v>530</v>
      </c>
      <c r="M10" s="2">
        <v>527</v>
      </c>
      <c r="N10">
        <v>-3</v>
      </c>
      <c r="O10" t="str">
        <f>IF(flights_sample_3m[[#This Row],[DEP_DELAY]]&lt;=15,"No delay",IF(flights_sample_3m[[#This Row],[DEP_DELAY]]&lt;=60,"Short Delay","Long Delay"))</f>
        <v>No delay</v>
      </c>
      <c r="P10" t="str">
        <f>IF(flights_sample_3m[[#This Row],[DEP_DELAY]]&lt;=15,"Delayed","On Time")</f>
        <v>Delayed</v>
      </c>
      <c r="Q10">
        <v>11</v>
      </c>
      <c r="R10">
        <v>538</v>
      </c>
      <c r="S10">
        <v>658</v>
      </c>
      <c r="T10">
        <v>8</v>
      </c>
      <c r="U10">
        <v>717</v>
      </c>
      <c r="V10" s="2">
        <v>706</v>
      </c>
      <c r="W10">
        <v>-11</v>
      </c>
      <c r="X10">
        <v>0</v>
      </c>
      <c r="Y10">
        <v>0</v>
      </c>
      <c r="Z10">
        <v>0</v>
      </c>
      <c r="AA10">
        <v>227</v>
      </c>
      <c r="AB10">
        <v>219</v>
      </c>
      <c r="AC10">
        <v>200</v>
      </c>
      <c r="AD10">
        <v>1379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3">
      <c r="A11" s="1">
        <v>44065</v>
      </c>
      <c r="B11" s="1" t="str">
        <f>TEXT(flights_sample_3m[[#This Row],[FL_DATE]],"yyyy-mm")</f>
        <v>2020-08</v>
      </c>
      <c r="C11" t="s">
        <v>80</v>
      </c>
      <c r="D11" t="s">
        <v>81</v>
      </c>
      <c r="E11" t="s">
        <v>82</v>
      </c>
      <c r="F11">
        <v>19930</v>
      </c>
      <c r="G11">
        <v>223</v>
      </c>
      <c r="H11" t="s">
        <v>44</v>
      </c>
      <c r="I11" t="s">
        <v>45</v>
      </c>
      <c r="J11" t="s">
        <v>83</v>
      </c>
      <c r="K11" t="s">
        <v>84</v>
      </c>
      <c r="L11">
        <v>2125</v>
      </c>
      <c r="M11" s="2">
        <v>2116</v>
      </c>
      <c r="N11">
        <v>-9</v>
      </c>
      <c r="O11" t="str">
        <f>IF(flights_sample_3m[[#This Row],[DEP_DELAY]]&lt;=15,"No delay",IF(flights_sample_3m[[#This Row],[DEP_DELAY]]&lt;=60,"Short Delay","Long Delay"))</f>
        <v>No delay</v>
      </c>
      <c r="P11" t="str">
        <f>IF(flights_sample_3m[[#This Row],[DEP_DELAY]]&lt;=15,"Delayed","On Time")</f>
        <v>Delayed</v>
      </c>
      <c r="Q11">
        <v>19</v>
      </c>
      <c r="R11">
        <v>2135</v>
      </c>
      <c r="S11">
        <v>2353</v>
      </c>
      <c r="T11">
        <v>3</v>
      </c>
      <c r="U11">
        <v>2355</v>
      </c>
      <c r="V11" s="2">
        <v>2356</v>
      </c>
      <c r="W11">
        <v>1</v>
      </c>
      <c r="X11">
        <v>0</v>
      </c>
      <c r="Y11">
        <v>0</v>
      </c>
      <c r="Z11">
        <v>0</v>
      </c>
      <c r="AA11">
        <v>210</v>
      </c>
      <c r="AB11">
        <v>220</v>
      </c>
      <c r="AC11">
        <v>198</v>
      </c>
      <c r="AD11">
        <v>1533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 s="1">
        <v>44358</v>
      </c>
      <c r="B12" s="1" t="str">
        <f>TEXT(flights_sample_3m[[#This Row],[FL_DATE]],"yyyy-mm")</f>
        <v>2021-06</v>
      </c>
      <c r="C12" t="s">
        <v>39</v>
      </c>
      <c r="D12" t="s">
        <v>40</v>
      </c>
      <c r="E12" t="s">
        <v>41</v>
      </c>
      <c r="F12">
        <v>19790</v>
      </c>
      <c r="G12">
        <v>2820</v>
      </c>
      <c r="H12" t="s">
        <v>85</v>
      </c>
      <c r="I12" t="s">
        <v>86</v>
      </c>
      <c r="J12" t="s">
        <v>87</v>
      </c>
      <c r="K12" t="s">
        <v>88</v>
      </c>
      <c r="L12">
        <v>1850</v>
      </c>
      <c r="M12" s="2">
        <v>1959</v>
      </c>
      <c r="N12">
        <v>69</v>
      </c>
      <c r="O12" t="str">
        <f>IF(flights_sample_3m[[#This Row],[DEP_DELAY]]&lt;=15,"No delay",IF(flights_sample_3m[[#This Row],[DEP_DELAY]]&lt;=60,"Short Delay","Long Delay"))</f>
        <v>Long Delay</v>
      </c>
      <c r="P12" t="str">
        <f>IF(flights_sample_3m[[#This Row],[DEP_DELAY]]&lt;=15,"Delayed","On Time")</f>
        <v>On Time</v>
      </c>
      <c r="Q12">
        <v>14</v>
      </c>
      <c r="R12">
        <v>2013</v>
      </c>
      <c r="S12">
        <v>2208</v>
      </c>
      <c r="T12">
        <v>4</v>
      </c>
      <c r="U12">
        <v>2112</v>
      </c>
      <c r="V12" s="2">
        <v>2212</v>
      </c>
      <c r="W12">
        <v>60</v>
      </c>
      <c r="X12">
        <v>0</v>
      </c>
      <c r="Y12">
        <v>0</v>
      </c>
      <c r="Z12">
        <v>0</v>
      </c>
      <c r="AA12">
        <v>142</v>
      </c>
      <c r="AB12">
        <v>133</v>
      </c>
      <c r="AC12">
        <v>115</v>
      </c>
      <c r="AD12">
        <v>859</v>
      </c>
      <c r="AE12">
        <v>60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s="1">
        <v>44043</v>
      </c>
      <c r="B13" s="1" t="str">
        <f>TEXT(flights_sample_3m[[#This Row],[FL_DATE]],"yyyy-mm")</f>
        <v>2020-07</v>
      </c>
      <c r="C13" t="s">
        <v>64</v>
      </c>
      <c r="D13" t="s">
        <v>65</v>
      </c>
      <c r="E13" t="s">
        <v>66</v>
      </c>
      <c r="F13">
        <v>19805</v>
      </c>
      <c r="G13">
        <v>2107</v>
      </c>
      <c r="H13" t="s">
        <v>89</v>
      </c>
      <c r="I13" t="s">
        <v>90</v>
      </c>
      <c r="J13" t="s">
        <v>55</v>
      </c>
      <c r="K13" t="s">
        <v>56</v>
      </c>
      <c r="L13">
        <v>1207</v>
      </c>
      <c r="M13" s="2">
        <v>1201</v>
      </c>
      <c r="N13">
        <v>-6</v>
      </c>
      <c r="O13" t="str">
        <f>IF(flights_sample_3m[[#This Row],[DEP_DELAY]]&lt;=15,"No delay",IF(flights_sample_3m[[#This Row],[DEP_DELAY]]&lt;=60,"Short Delay","Long Delay"))</f>
        <v>No delay</v>
      </c>
      <c r="P13" t="str">
        <f>IF(flights_sample_3m[[#This Row],[DEP_DELAY]]&lt;=15,"Delayed","On Time")</f>
        <v>Delayed</v>
      </c>
      <c r="Q13">
        <v>14</v>
      </c>
      <c r="R13">
        <v>1215</v>
      </c>
      <c r="S13">
        <v>1346</v>
      </c>
      <c r="T13">
        <v>11</v>
      </c>
      <c r="U13">
        <v>1358</v>
      </c>
      <c r="V13" s="2">
        <v>1357</v>
      </c>
      <c r="W13">
        <v>-1</v>
      </c>
      <c r="X13">
        <v>0</v>
      </c>
      <c r="Y13">
        <v>0</v>
      </c>
      <c r="Z13">
        <v>0</v>
      </c>
      <c r="AA13">
        <v>171</v>
      </c>
      <c r="AB13">
        <v>176</v>
      </c>
      <c r="AC13">
        <v>151</v>
      </c>
      <c r="AD13">
        <v>1061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">
      <c r="A14" s="1">
        <v>44413</v>
      </c>
      <c r="B14" s="1" t="str">
        <f>TEXT(flights_sample_3m[[#This Row],[FL_DATE]],"yyyy-mm")</f>
        <v>2021-08</v>
      </c>
      <c r="C14" t="s">
        <v>57</v>
      </c>
      <c r="D14" t="s">
        <v>58</v>
      </c>
      <c r="E14" t="s">
        <v>59</v>
      </c>
      <c r="F14">
        <v>19393</v>
      </c>
      <c r="G14">
        <v>430</v>
      </c>
      <c r="H14" t="s">
        <v>91</v>
      </c>
      <c r="I14" t="s">
        <v>92</v>
      </c>
      <c r="J14" t="s">
        <v>93</v>
      </c>
      <c r="K14" t="s">
        <v>94</v>
      </c>
      <c r="L14">
        <v>820</v>
      </c>
      <c r="M14" s="2">
        <v>826</v>
      </c>
      <c r="N14">
        <v>6</v>
      </c>
      <c r="O14" t="str">
        <f>IF(flights_sample_3m[[#This Row],[DEP_DELAY]]&lt;=15,"No delay",IF(flights_sample_3m[[#This Row],[DEP_DELAY]]&lt;=60,"Short Delay","Long Delay"))</f>
        <v>No delay</v>
      </c>
      <c r="P14" t="str">
        <f>IF(flights_sample_3m[[#This Row],[DEP_DELAY]]&lt;=15,"Delayed","On Time")</f>
        <v>Delayed</v>
      </c>
      <c r="Q14">
        <v>10</v>
      </c>
      <c r="R14">
        <v>836</v>
      </c>
      <c r="S14">
        <v>935</v>
      </c>
      <c r="T14">
        <v>6</v>
      </c>
      <c r="U14">
        <v>940</v>
      </c>
      <c r="V14" s="2">
        <v>941</v>
      </c>
      <c r="W14">
        <v>1</v>
      </c>
      <c r="X14">
        <v>0</v>
      </c>
      <c r="Y14">
        <v>0</v>
      </c>
      <c r="Z14">
        <v>0</v>
      </c>
      <c r="AA14">
        <v>80</v>
      </c>
      <c r="AB14">
        <v>75</v>
      </c>
      <c r="AC14">
        <v>59</v>
      </c>
      <c r="AD14">
        <v>395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">
      <c r="A15" s="1">
        <v>43789</v>
      </c>
      <c r="B15" s="1" t="str">
        <f>TEXT(flights_sample_3m[[#This Row],[FL_DATE]],"yyyy-mm")</f>
        <v>2019-11</v>
      </c>
      <c r="C15" t="s">
        <v>39</v>
      </c>
      <c r="D15" t="s">
        <v>40</v>
      </c>
      <c r="E15" t="s">
        <v>41</v>
      </c>
      <c r="F15">
        <v>19790</v>
      </c>
      <c r="G15">
        <v>1065</v>
      </c>
      <c r="H15" t="s">
        <v>87</v>
      </c>
      <c r="I15" t="s">
        <v>88</v>
      </c>
      <c r="J15" t="s">
        <v>85</v>
      </c>
      <c r="K15" t="s">
        <v>86</v>
      </c>
      <c r="L15">
        <v>600</v>
      </c>
      <c r="M15" s="2">
        <v>555</v>
      </c>
      <c r="N15">
        <v>-5</v>
      </c>
      <c r="O15" t="str">
        <f>IF(flights_sample_3m[[#This Row],[DEP_DELAY]]&lt;=15,"No delay",IF(flights_sample_3m[[#This Row],[DEP_DELAY]]&lt;=60,"Short Delay","Long Delay"))</f>
        <v>No delay</v>
      </c>
      <c r="P15" t="str">
        <f>IF(flights_sample_3m[[#This Row],[DEP_DELAY]]&lt;=15,"Delayed","On Time")</f>
        <v>Delayed</v>
      </c>
      <c r="Q15">
        <v>15</v>
      </c>
      <c r="R15">
        <v>610</v>
      </c>
      <c r="S15">
        <v>802</v>
      </c>
      <c r="T15">
        <v>6</v>
      </c>
      <c r="U15">
        <v>840</v>
      </c>
      <c r="V15" s="2">
        <v>808</v>
      </c>
      <c r="W15">
        <v>-32</v>
      </c>
      <c r="X15">
        <v>0</v>
      </c>
      <c r="Y15">
        <v>0</v>
      </c>
      <c r="Z15">
        <v>0</v>
      </c>
      <c r="AA15">
        <v>160</v>
      </c>
      <c r="AB15">
        <v>133</v>
      </c>
      <c r="AC15">
        <v>112</v>
      </c>
      <c r="AD15">
        <v>859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">
      <c r="A16" s="1">
        <v>43928</v>
      </c>
      <c r="B16" s="1" t="str">
        <f>TEXT(flights_sample_3m[[#This Row],[FL_DATE]],"yyyy-mm")</f>
        <v>2020-04</v>
      </c>
      <c r="C16" t="s">
        <v>57</v>
      </c>
      <c r="D16" t="s">
        <v>58</v>
      </c>
      <c r="E16" t="s">
        <v>59</v>
      </c>
      <c r="F16">
        <v>19393</v>
      </c>
      <c r="G16">
        <v>687</v>
      </c>
      <c r="H16" t="s">
        <v>95</v>
      </c>
      <c r="I16" t="s">
        <v>96</v>
      </c>
      <c r="J16" t="s">
        <v>78</v>
      </c>
      <c r="K16" t="s">
        <v>79</v>
      </c>
      <c r="L16">
        <v>2155</v>
      </c>
      <c r="M16" s="2">
        <v>0</v>
      </c>
      <c r="N16">
        <v>0</v>
      </c>
      <c r="O16" t="str">
        <f>IF(flights_sample_3m[[#This Row],[DEP_DELAY]]&lt;=15,"No delay",IF(flights_sample_3m[[#This Row],[DEP_DELAY]]&lt;=60,"Short Delay","Long Delay"))</f>
        <v>No delay</v>
      </c>
      <c r="P16" t="str">
        <f>IF(flights_sample_3m[[#This Row],[DEP_DELAY]]&lt;=15,"Delayed","On Time")</f>
        <v>Delayed</v>
      </c>
      <c r="Q16">
        <v>0</v>
      </c>
      <c r="R16">
        <v>0</v>
      </c>
      <c r="S16">
        <v>0</v>
      </c>
      <c r="T16">
        <v>0</v>
      </c>
      <c r="U16">
        <v>2315</v>
      </c>
      <c r="V16" s="2">
        <v>0</v>
      </c>
      <c r="W16">
        <v>0</v>
      </c>
      <c r="X16">
        <v>1</v>
      </c>
      <c r="Y16" t="s">
        <v>97</v>
      </c>
      <c r="Z16">
        <v>0</v>
      </c>
      <c r="AA16">
        <v>80</v>
      </c>
      <c r="AB16">
        <v>0</v>
      </c>
      <c r="AC16">
        <v>0</v>
      </c>
      <c r="AD16">
        <v>308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">
      <c r="A17" s="1">
        <v>44682</v>
      </c>
      <c r="B17" s="1" t="str">
        <f>TEXT(flights_sample_3m[[#This Row],[FL_DATE]],"yyyy-mm")</f>
        <v>2022-05</v>
      </c>
      <c r="C17" t="s">
        <v>57</v>
      </c>
      <c r="D17" t="s">
        <v>58</v>
      </c>
      <c r="E17" t="s">
        <v>59</v>
      </c>
      <c r="F17">
        <v>19393</v>
      </c>
      <c r="G17">
        <v>1011</v>
      </c>
      <c r="H17" t="s">
        <v>98</v>
      </c>
      <c r="I17" t="s">
        <v>99</v>
      </c>
      <c r="J17" t="s">
        <v>87</v>
      </c>
      <c r="K17" t="s">
        <v>88</v>
      </c>
      <c r="L17">
        <v>1735</v>
      </c>
      <c r="M17" s="2">
        <v>1738</v>
      </c>
      <c r="N17">
        <v>3</v>
      </c>
      <c r="O17" t="str">
        <f>IF(flights_sample_3m[[#This Row],[DEP_DELAY]]&lt;=15,"No delay",IF(flights_sample_3m[[#This Row],[DEP_DELAY]]&lt;=60,"Short Delay","Long Delay"))</f>
        <v>No delay</v>
      </c>
      <c r="P17" t="str">
        <f>IF(flights_sample_3m[[#This Row],[DEP_DELAY]]&lt;=15,"Delayed","On Time")</f>
        <v>Delayed</v>
      </c>
      <c r="Q17">
        <v>12</v>
      </c>
      <c r="R17">
        <v>1750</v>
      </c>
      <c r="S17">
        <v>1843</v>
      </c>
      <c r="T17">
        <v>3</v>
      </c>
      <c r="U17">
        <v>1840</v>
      </c>
      <c r="V17" s="2">
        <v>1846</v>
      </c>
      <c r="W17">
        <v>6</v>
      </c>
      <c r="X17">
        <v>0</v>
      </c>
      <c r="Y17">
        <v>0</v>
      </c>
      <c r="Z17">
        <v>0</v>
      </c>
      <c r="AA17">
        <v>65</v>
      </c>
      <c r="AB17">
        <v>68</v>
      </c>
      <c r="AC17">
        <v>53</v>
      </c>
      <c r="AD17">
        <v>283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">
      <c r="A18" s="1">
        <v>44013</v>
      </c>
      <c r="B18" s="1" t="str">
        <f>TEXT(flights_sample_3m[[#This Row],[FL_DATE]],"yyyy-mm")</f>
        <v>2020-07</v>
      </c>
      <c r="C18" t="s">
        <v>39</v>
      </c>
      <c r="D18" t="s">
        <v>40</v>
      </c>
      <c r="E18" t="s">
        <v>41</v>
      </c>
      <c r="F18">
        <v>19790</v>
      </c>
      <c r="G18">
        <v>1225</v>
      </c>
      <c r="H18" t="s">
        <v>100</v>
      </c>
      <c r="I18" t="s">
        <v>101</v>
      </c>
      <c r="J18" t="s">
        <v>85</v>
      </c>
      <c r="K18" t="s">
        <v>86</v>
      </c>
      <c r="L18">
        <v>1615</v>
      </c>
      <c r="M18" s="2">
        <v>1613</v>
      </c>
      <c r="N18">
        <v>-2</v>
      </c>
      <c r="O18" t="str">
        <f>IF(flights_sample_3m[[#This Row],[DEP_DELAY]]&lt;=15,"No delay",IF(flights_sample_3m[[#This Row],[DEP_DELAY]]&lt;=60,"Short Delay","Long Delay"))</f>
        <v>No delay</v>
      </c>
      <c r="P18" t="str">
        <f>IF(flights_sample_3m[[#This Row],[DEP_DELAY]]&lt;=15,"Delayed","On Time")</f>
        <v>Delayed</v>
      </c>
      <c r="Q18">
        <v>15</v>
      </c>
      <c r="R18">
        <v>1628</v>
      </c>
      <c r="S18">
        <v>1945</v>
      </c>
      <c r="T18">
        <v>3</v>
      </c>
      <c r="U18">
        <v>1957</v>
      </c>
      <c r="V18" s="2">
        <v>1948</v>
      </c>
      <c r="W18">
        <v>-9</v>
      </c>
      <c r="X18">
        <v>0</v>
      </c>
      <c r="Y18">
        <v>0</v>
      </c>
      <c r="Z18">
        <v>0</v>
      </c>
      <c r="AA18">
        <v>222</v>
      </c>
      <c r="AB18">
        <v>215</v>
      </c>
      <c r="AC18">
        <v>197</v>
      </c>
      <c r="AD18">
        <v>1599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">
      <c r="A19" s="1">
        <v>44555</v>
      </c>
      <c r="B19" s="1" t="str">
        <f>TEXT(flights_sample_3m[[#This Row],[FL_DATE]],"yyyy-mm")</f>
        <v>2021-12</v>
      </c>
      <c r="C19" t="s">
        <v>57</v>
      </c>
      <c r="D19" t="s">
        <v>58</v>
      </c>
      <c r="E19" t="s">
        <v>59</v>
      </c>
      <c r="F19">
        <v>19393</v>
      </c>
      <c r="G19">
        <v>2516</v>
      </c>
      <c r="H19" t="s">
        <v>60</v>
      </c>
      <c r="I19" t="s">
        <v>61</v>
      </c>
      <c r="J19" t="s">
        <v>102</v>
      </c>
      <c r="K19" t="s">
        <v>103</v>
      </c>
      <c r="L19">
        <v>1435</v>
      </c>
      <c r="M19" s="2">
        <v>1428</v>
      </c>
      <c r="N19">
        <v>-7</v>
      </c>
      <c r="O19" t="str">
        <f>IF(flights_sample_3m[[#This Row],[DEP_DELAY]]&lt;=15,"No delay",IF(flights_sample_3m[[#This Row],[DEP_DELAY]]&lt;=60,"Short Delay","Long Delay"))</f>
        <v>No delay</v>
      </c>
      <c r="P19" t="str">
        <f>IF(flights_sample_3m[[#This Row],[DEP_DELAY]]&lt;=15,"Delayed","On Time")</f>
        <v>Delayed</v>
      </c>
      <c r="Q19">
        <v>9</v>
      </c>
      <c r="R19">
        <v>1437</v>
      </c>
      <c r="S19">
        <v>1533</v>
      </c>
      <c r="T19">
        <v>3</v>
      </c>
      <c r="U19">
        <v>1600</v>
      </c>
      <c r="V19" s="2">
        <v>1536</v>
      </c>
      <c r="W19">
        <v>-24</v>
      </c>
      <c r="X19">
        <v>0</v>
      </c>
      <c r="Y19">
        <v>0</v>
      </c>
      <c r="Z19">
        <v>0</v>
      </c>
      <c r="AA19">
        <v>85</v>
      </c>
      <c r="AB19">
        <v>68</v>
      </c>
      <c r="AC19">
        <v>56</v>
      </c>
      <c r="AD19">
        <v>436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 s="1">
        <v>43548</v>
      </c>
      <c r="B20" s="1" t="str">
        <f>TEXT(flights_sample_3m[[#This Row],[FL_DATE]],"yyyy-mm")</f>
        <v>2019-03</v>
      </c>
      <c r="C20" t="s">
        <v>50</v>
      </c>
      <c r="D20" t="s">
        <v>51</v>
      </c>
      <c r="E20" t="s">
        <v>52</v>
      </c>
      <c r="F20">
        <v>20416</v>
      </c>
      <c r="G20">
        <v>906</v>
      </c>
      <c r="H20" t="s">
        <v>46</v>
      </c>
      <c r="I20" t="s">
        <v>47</v>
      </c>
      <c r="J20" t="s">
        <v>76</v>
      </c>
      <c r="K20" t="s">
        <v>77</v>
      </c>
      <c r="L20">
        <v>1530</v>
      </c>
      <c r="M20" s="2">
        <v>1526</v>
      </c>
      <c r="N20">
        <v>-4</v>
      </c>
      <c r="O20" t="str">
        <f>IF(flights_sample_3m[[#This Row],[DEP_DELAY]]&lt;=15,"No delay",IF(flights_sample_3m[[#This Row],[DEP_DELAY]]&lt;=60,"Short Delay","Long Delay"))</f>
        <v>No delay</v>
      </c>
      <c r="P20" t="str">
        <f>IF(flights_sample_3m[[#This Row],[DEP_DELAY]]&lt;=15,"Delayed","On Time")</f>
        <v>Delayed</v>
      </c>
      <c r="Q20">
        <v>14</v>
      </c>
      <c r="R20">
        <v>1540</v>
      </c>
      <c r="S20">
        <v>1830</v>
      </c>
      <c r="T20">
        <v>15</v>
      </c>
      <c r="U20">
        <v>1858</v>
      </c>
      <c r="V20" s="2">
        <v>1845</v>
      </c>
      <c r="W20">
        <v>-13</v>
      </c>
      <c r="X20">
        <v>0</v>
      </c>
      <c r="Y20">
        <v>0</v>
      </c>
      <c r="Z20">
        <v>0</v>
      </c>
      <c r="AA20">
        <v>148</v>
      </c>
      <c r="AB20">
        <v>139</v>
      </c>
      <c r="AC20">
        <v>110</v>
      </c>
      <c r="AD20">
        <v>862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">
      <c r="A21" s="1">
        <v>43541</v>
      </c>
      <c r="B21" s="1" t="str">
        <f>TEXT(flights_sample_3m[[#This Row],[FL_DATE]],"yyyy-mm")</f>
        <v>2019-03</v>
      </c>
      <c r="C21" t="s">
        <v>32</v>
      </c>
      <c r="D21" t="s">
        <v>33</v>
      </c>
      <c r="E21" t="s">
        <v>34</v>
      </c>
      <c r="F21">
        <v>19977</v>
      </c>
      <c r="G21">
        <v>1157</v>
      </c>
      <c r="H21" t="s">
        <v>104</v>
      </c>
      <c r="I21" t="s">
        <v>105</v>
      </c>
      <c r="J21" t="s">
        <v>106</v>
      </c>
      <c r="K21" t="s">
        <v>92</v>
      </c>
      <c r="L21">
        <v>1615</v>
      </c>
      <c r="M21" s="2">
        <v>1611</v>
      </c>
      <c r="N21">
        <v>-4</v>
      </c>
      <c r="O21" t="str">
        <f>IF(flights_sample_3m[[#This Row],[DEP_DELAY]]&lt;=15,"No delay",IF(flights_sample_3m[[#This Row],[DEP_DELAY]]&lt;=60,"Short Delay","Long Delay"))</f>
        <v>No delay</v>
      </c>
      <c r="P21" t="str">
        <f>IF(flights_sample_3m[[#This Row],[DEP_DELAY]]&lt;=15,"Delayed","On Time")</f>
        <v>Delayed</v>
      </c>
      <c r="Q21">
        <v>31</v>
      </c>
      <c r="R21">
        <v>1642</v>
      </c>
      <c r="S21">
        <v>1838</v>
      </c>
      <c r="T21">
        <v>12</v>
      </c>
      <c r="U21">
        <v>1815</v>
      </c>
      <c r="V21" s="2">
        <v>1850</v>
      </c>
      <c r="W21">
        <v>35</v>
      </c>
      <c r="X21">
        <v>0</v>
      </c>
      <c r="Y21">
        <v>0</v>
      </c>
      <c r="Z21">
        <v>0</v>
      </c>
      <c r="AA21">
        <v>180</v>
      </c>
      <c r="AB21">
        <v>219</v>
      </c>
      <c r="AC21">
        <v>176</v>
      </c>
      <c r="AD21">
        <v>1050</v>
      </c>
      <c r="AE21">
        <v>0</v>
      </c>
      <c r="AF21">
        <v>0</v>
      </c>
      <c r="AG21">
        <v>35</v>
      </c>
      <c r="AH21">
        <v>0</v>
      </c>
      <c r="AI21">
        <v>0</v>
      </c>
    </row>
    <row r="22" spans="1:35" x14ac:dyDescent="0.3">
      <c r="A22" s="1">
        <v>44686</v>
      </c>
      <c r="B22" s="1" t="str">
        <f>TEXT(flights_sample_3m[[#This Row],[FL_DATE]],"yyyy-mm")</f>
        <v>2022-05</v>
      </c>
      <c r="C22" t="s">
        <v>107</v>
      </c>
      <c r="D22" t="s">
        <v>108</v>
      </c>
      <c r="E22" t="s">
        <v>109</v>
      </c>
      <c r="F22">
        <v>20409</v>
      </c>
      <c r="G22">
        <v>1273</v>
      </c>
      <c r="H22" t="s">
        <v>110</v>
      </c>
      <c r="I22" t="s">
        <v>111</v>
      </c>
      <c r="J22" t="s">
        <v>112</v>
      </c>
      <c r="K22" t="s">
        <v>113</v>
      </c>
      <c r="L22">
        <v>803</v>
      </c>
      <c r="M22" s="2">
        <v>800</v>
      </c>
      <c r="N22">
        <v>-3</v>
      </c>
      <c r="O22" t="str">
        <f>IF(flights_sample_3m[[#This Row],[DEP_DELAY]]&lt;=15,"No delay",IF(flights_sample_3m[[#This Row],[DEP_DELAY]]&lt;=60,"Short Delay","Long Delay"))</f>
        <v>No delay</v>
      </c>
      <c r="P22" t="str">
        <f>IF(flights_sample_3m[[#This Row],[DEP_DELAY]]&lt;=15,"Delayed","On Time")</f>
        <v>Delayed</v>
      </c>
      <c r="Q22">
        <v>17</v>
      </c>
      <c r="R22">
        <v>817</v>
      </c>
      <c r="S22">
        <v>943</v>
      </c>
      <c r="T22">
        <v>3</v>
      </c>
      <c r="U22">
        <v>1012</v>
      </c>
      <c r="V22" s="2">
        <v>946</v>
      </c>
      <c r="W22">
        <v>-26</v>
      </c>
      <c r="X22">
        <v>0</v>
      </c>
      <c r="Y22">
        <v>0</v>
      </c>
      <c r="Z22">
        <v>0</v>
      </c>
      <c r="AA22">
        <v>129</v>
      </c>
      <c r="AB22">
        <v>106</v>
      </c>
      <c r="AC22">
        <v>86</v>
      </c>
      <c r="AD22">
        <v>636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">
      <c r="A23" s="1">
        <v>43492</v>
      </c>
      <c r="B23" s="1" t="str">
        <f>TEXT(flights_sample_3m[[#This Row],[FL_DATE]],"yyyy-mm")</f>
        <v>2019-01</v>
      </c>
      <c r="C23" t="s">
        <v>50</v>
      </c>
      <c r="D23" t="s">
        <v>51</v>
      </c>
      <c r="E23" t="s">
        <v>52</v>
      </c>
      <c r="F23">
        <v>20416</v>
      </c>
      <c r="G23">
        <v>262</v>
      </c>
      <c r="H23" t="s">
        <v>35</v>
      </c>
      <c r="I23" t="s">
        <v>36</v>
      </c>
      <c r="J23" t="s">
        <v>114</v>
      </c>
      <c r="K23" t="s">
        <v>115</v>
      </c>
      <c r="L23">
        <v>1430</v>
      </c>
      <c r="M23" s="2">
        <v>1443</v>
      </c>
      <c r="N23">
        <v>13</v>
      </c>
      <c r="O23" t="str">
        <f>IF(flights_sample_3m[[#This Row],[DEP_DELAY]]&lt;=15,"No delay",IF(flights_sample_3m[[#This Row],[DEP_DELAY]]&lt;=60,"Short Delay","Long Delay"))</f>
        <v>No delay</v>
      </c>
      <c r="P23" t="str">
        <f>IF(flights_sample_3m[[#This Row],[DEP_DELAY]]&lt;=15,"Delayed","On Time")</f>
        <v>Delayed</v>
      </c>
      <c r="Q23">
        <v>28</v>
      </c>
      <c r="R23">
        <v>1511</v>
      </c>
      <c r="S23">
        <v>1706</v>
      </c>
      <c r="T23">
        <v>5</v>
      </c>
      <c r="U23">
        <v>1700</v>
      </c>
      <c r="V23" s="2">
        <v>1711</v>
      </c>
      <c r="W23">
        <v>11</v>
      </c>
      <c r="X23">
        <v>0</v>
      </c>
      <c r="Y23">
        <v>0</v>
      </c>
      <c r="Z23">
        <v>0</v>
      </c>
      <c r="AA23">
        <v>150</v>
      </c>
      <c r="AB23">
        <v>148</v>
      </c>
      <c r="AC23">
        <v>115</v>
      </c>
      <c r="AD23">
        <v>977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">
      <c r="A24" s="1">
        <v>44877</v>
      </c>
      <c r="B24" s="1" t="str">
        <f>TEXT(flights_sample_3m[[#This Row],[FL_DATE]],"yyyy-mm")</f>
        <v>2022-11</v>
      </c>
      <c r="C24" t="s">
        <v>39</v>
      </c>
      <c r="D24" t="s">
        <v>40</v>
      </c>
      <c r="E24" t="s">
        <v>41</v>
      </c>
      <c r="F24">
        <v>19790</v>
      </c>
      <c r="G24">
        <v>2706</v>
      </c>
      <c r="H24" t="s">
        <v>116</v>
      </c>
      <c r="I24" t="s">
        <v>117</v>
      </c>
      <c r="J24" t="s">
        <v>42</v>
      </c>
      <c r="K24" t="s">
        <v>43</v>
      </c>
      <c r="L24">
        <v>730</v>
      </c>
      <c r="M24" s="2">
        <v>720</v>
      </c>
      <c r="N24">
        <v>-10</v>
      </c>
      <c r="O24" t="str">
        <f>IF(flights_sample_3m[[#This Row],[DEP_DELAY]]&lt;=15,"No delay",IF(flights_sample_3m[[#This Row],[DEP_DELAY]]&lt;=60,"Short Delay","Long Delay"))</f>
        <v>No delay</v>
      </c>
      <c r="P24" t="str">
        <f>IF(flights_sample_3m[[#This Row],[DEP_DELAY]]&lt;=15,"Delayed","On Time")</f>
        <v>Delayed</v>
      </c>
      <c r="Q24">
        <v>10</v>
      </c>
      <c r="R24">
        <v>730</v>
      </c>
      <c r="S24">
        <v>731</v>
      </c>
      <c r="T24">
        <v>5</v>
      </c>
      <c r="U24">
        <v>806</v>
      </c>
      <c r="V24" s="2">
        <v>736</v>
      </c>
      <c r="W24">
        <v>-30</v>
      </c>
      <c r="X24">
        <v>0</v>
      </c>
      <c r="Y24">
        <v>0</v>
      </c>
      <c r="Z24">
        <v>0</v>
      </c>
      <c r="AA24">
        <v>96</v>
      </c>
      <c r="AB24">
        <v>76</v>
      </c>
      <c r="AC24">
        <v>61</v>
      </c>
      <c r="AD24">
        <v>408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">
      <c r="A25" s="1">
        <v>44810</v>
      </c>
      <c r="B25" s="1" t="str">
        <f>TEXT(flights_sample_3m[[#This Row],[FL_DATE]],"yyyy-mm")</f>
        <v>2022-09</v>
      </c>
      <c r="C25" t="s">
        <v>64</v>
      </c>
      <c r="D25" t="s">
        <v>65</v>
      </c>
      <c r="E25" t="s">
        <v>66</v>
      </c>
      <c r="F25">
        <v>19805</v>
      </c>
      <c r="G25">
        <v>1754</v>
      </c>
      <c r="H25" t="s">
        <v>55</v>
      </c>
      <c r="I25" t="s">
        <v>56</v>
      </c>
      <c r="J25" t="s">
        <v>118</v>
      </c>
      <c r="K25" t="s">
        <v>119</v>
      </c>
      <c r="L25">
        <v>830</v>
      </c>
      <c r="M25" s="2">
        <v>830</v>
      </c>
      <c r="N25">
        <v>0</v>
      </c>
      <c r="O25" t="str">
        <f>IF(flights_sample_3m[[#This Row],[DEP_DELAY]]&lt;=15,"No delay",IF(flights_sample_3m[[#This Row],[DEP_DELAY]]&lt;=60,"Short Delay","Long Delay"))</f>
        <v>No delay</v>
      </c>
      <c r="P25" t="str">
        <f>IF(flights_sample_3m[[#This Row],[DEP_DELAY]]&lt;=15,"Delayed","On Time")</f>
        <v>Delayed</v>
      </c>
      <c r="Q25">
        <v>19</v>
      </c>
      <c r="R25">
        <v>849</v>
      </c>
      <c r="S25">
        <v>1016</v>
      </c>
      <c r="T25">
        <v>4</v>
      </c>
      <c r="U25">
        <v>1014</v>
      </c>
      <c r="V25" s="2">
        <v>1020</v>
      </c>
      <c r="W25">
        <v>6</v>
      </c>
      <c r="X25">
        <v>0</v>
      </c>
      <c r="Y25">
        <v>0</v>
      </c>
      <c r="Z25">
        <v>0</v>
      </c>
      <c r="AA25">
        <v>104</v>
      </c>
      <c r="AB25">
        <v>110</v>
      </c>
      <c r="AC25">
        <v>87</v>
      </c>
      <c r="AD25">
        <v>604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 s="1">
        <v>44341</v>
      </c>
      <c r="B26" s="1" t="str">
        <f>TEXT(flights_sample_3m[[#This Row],[FL_DATE]],"yyyy-mm")</f>
        <v>2021-05</v>
      </c>
      <c r="C26" t="s">
        <v>120</v>
      </c>
      <c r="D26" t="s">
        <v>121</v>
      </c>
      <c r="E26" t="s">
        <v>122</v>
      </c>
      <c r="F26">
        <v>20397</v>
      </c>
      <c r="G26">
        <v>5037</v>
      </c>
      <c r="H26" t="s">
        <v>123</v>
      </c>
      <c r="I26" t="s">
        <v>124</v>
      </c>
      <c r="J26" t="s">
        <v>89</v>
      </c>
      <c r="K26" t="s">
        <v>90</v>
      </c>
      <c r="L26">
        <v>914</v>
      </c>
      <c r="M26" s="2">
        <v>906</v>
      </c>
      <c r="N26">
        <v>-8</v>
      </c>
      <c r="O26" t="str">
        <f>IF(flights_sample_3m[[#This Row],[DEP_DELAY]]&lt;=15,"No delay",IF(flights_sample_3m[[#This Row],[DEP_DELAY]]&lt;=60,"Short Delay","Long Delay"))</f>
        <v>No delay</v>
      </c>
      <c r="P26" t="str">
        <f>IF(flights_sample_3m[[#This Row],[DEP_DELAY]]&lt;=15,"Delayed","On Time")</f>
        <v>Delayed</v>
      </c>
      <c r="Q26">
        <v>30</v>
      </c>
      <c r="R26">
        <v>936</v>
      </c>
      <c r="S26">
        <v>1005</v>
      </c>
      <c r="T26">
        <v>4</v>
      </c>
      <c r="U26">
        <v>1029</v>
      </c>
      <c r="V26" s="2">
        <v>1009</v>
      </c>
      <c r="W26">
        <v>-20</v>
      </c>
      <c r="X26">
        <v>0</v>
      </c>
      <c r="Y26">
        <v>0</v>
      </c>
      <c r="Z26">
        <v>0</v>
      </c>
      <c r="AA26">
        <v>75</v>
      </c>
      <c r="AB26">
        <v>63</v>
      </c>
      <c r="AC26">
        <v>29</v>
      </c>
      <c r="AD26">
        <v>130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">
      <c r="A27" s="1">
        <v>43578</v>
      </c>
      <c r="B27" s="1" t="str">
        <f>TEXT(flights_sample_3m[[#This Row],[FL_DATE]],"yyyy-mm")</f>
        <v>2019-04</v>
      </c>
      <c r="C27" t="s">
        <v>32</v>
      </c>
      <c r="D27" t="s">
        <v>33</v>
      </c>
      <c r="E27" t="s">
        <v>34</v>
      </c>
      <c r="F27">
        <v>19977</v>
      </c>
      <c r="G27">
        <v>498</v>
      </c>
      <c r="H27" t="s">
        <v>106</v>
      </c>
      <c r="I27" t="s">
        <v>92</v>
      </c>
      <c r="J27" t="s">
        <v>125</v>
      </c>
      <c r="K27" t="s">
        <v>68</v>
      </c>
      <c r="L27">
        <v>1330</v>
      </c>
      <c r="M27" s="2">
        <v>1329</v>
      </c>
      <c r="N27">
        <v>-1</v>
      </c>
      <c r="O27" t="str">
        <f>IF(flights_sample_3m[[#This Row],[DEP_DELAY]]&lt;=15,"No delay",IF(flights_sample_3m[[#This Row],[DEP_DELAY]]&lt;=60,"Short Delay","Long Delay"))</f>
        <v>No delay</v>
      </c>
      <c r="P27" t="str">
        <f>IF(flights_sample_3m[[#This Row],[DEP_DELAY]]&lt;=15,"Delayed","On Time")</f>
        <v>Delayed</v>
      </c>
      <c r="Q27">
        <v>23</v>
      </c>
      <c r="R27">
        <v>1352</v>
      </c>
      <c r="S27">
        <v>1612</v>
      </c>
      <c r="T27">
        <v>3</v>
      </c>
      <c r="U27">
        <v>1620</v>
      </c>
      <c r="V27" s="2">
        <v>1615</v>
      </c>
      <c r="W27">
        <v>-5</v>
      </c>
      <c r="X27">
        <v>0</v>
      </c>
      <c r="Y27">
        <v>0</v>
      </c>
      <c r="Z27">
        <v>0</v>
      </c>
      <c r="AA27">
        <v>110</v>
      </c>
      <c r="AB27">
        <v>106</v>
      </c>
      <c r="AC27">
        <v>80</v>
      </c>
      <c r="AD27">
        <v>588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">
      <c r="A28" s="1">
        <v>44381</v>
      </c>
      <c r="B28" s="1" t="str">
        <f>TEXT(flights_sample_3m[[#This Row],[FL_DATE]],"yyyy-mm")</f>
        <v>2021-07</v>
      </c>
      <c r="C28" t="s">
        <v>126</v>
      </c>
      <c r="D28" t="s">
        <v>127</v>
      </c>
      <c r="E28" t="s">
        <v>128</v>
      </c>
      <c r="F28">
        <v>20368</v>
      </c>
      <c r="G28">
        <v>46</v>
      </c>
      <c r="H28" t="s">
        <v>129</v>
      </c>
      <c r="I28" t="s">
        <v>130</v>
      </c>
      <c r="J28" t="s">
        <v>131</v>
      </c>
      <c r="K28" t="s">
        <v>132</v>
      </c>
      <c r="L28">
        <v>625</v>
      </c>
      <c r="M28" s="2">
        <v>639</v>
      </c>
      <c r="N28">
        <v>14</v>
      </c>
      <c r="O28" t="str">
        <f>IF(flights_sample_3m[[#This Row],[DEP_DELAY]]&lt;=15,"No delay",IF(flights_sample_3m[[#This Row],[DEP_DELAY]]&lt;=60,"Short Delay","Long Delay"))</f>
        <v>No delay</v>
      </c>
      <c r="P28" t="str">
        <f>IF(flights_sample_3m[[#This Row],[DEP_DELAY]]&lt;=15,"Delayed","On Time")</f>
        <v>Delayed</v>
      </c>
      <c r="Q28">
        <v>28</v>
      </c>
      <c r="R28">
        <v>707</v>
      </c>
      <c r="S28">
        <v>854</v>
      </c>
      <c r="T28">
        <v>4</v>
      </c>
      <c r="U28">
        <v>833</v>
      </c>
      <c r="V28" s="2">
        <v>858</v>
      </c>
      <c r="W28">
        <v>25</v>
      </c>
      <c r="X28">
        <v>0</v>
      </c>
      <c r="Y28">
        <v>0</v>
      </c>
      <c r="Z28">
        <v>0</v>
      </c>
      <c r="AA28">
        <v>128</v>
      </c>
      <c r="AB28">
        <v>139</v>
      </c>
      <c r="AC28">
        <v>107</v>
      </c>
      <c r="AD28">
        <v>806</v>
      </c>
      <c r="AE28">
        <v>0</v>
      </c>
      <c r="AF28">
        <v>0</v>
      </c>
      <c r="AG28">
        <v>25</v>
      </c>
      <c r="AH28">
        <v>0</v>
      </c>
      <c r="AI28">
        <v>0</v>
      </c>
    </row>
    <row r="29" spans="1:35" x14ac:dyDescent="0.3">
      <c r="A29" s="1">
        <v>43558</v>
      </c>
      <c r="B29" s="1" t="str">
        <f>TEXT(flights_sample_3m[[#This Row],[FL_DATE]],"yyyy-mm")</f>
        <v>2019-04</v>
      </c>
      <c r="C29" t="s">
        <v>133</v>
      </c>
      <c r="D29" t="s">
        <v>134</v>
      </c>
      <c r="E29" t="s">
        <v>135</v>
      </c>
      <c r="F29">
        <v>20366</v>
      </c>
      <c r="G29">
        <v>4450</v>
      </c>
      <c r="H29" t="s">
        <v>136</v>
      </c>
      <c r="I29" t="s">
        <v>137</v>
      </c>
      <c r="J29" t="s">
        <v>76</v>
      </c>
      <c r="K29" t="s">
        <v>77</v>
      </c>
      <c r="L29">
        <v>859</v>
      </c>
      <c r="M29" s="2">
        <v>852</v>
      </c>
      <c r="N29">
        <v>-7</v>
      </c>
      <c r="O29" t="str">
        <f>IF(flights_sample_3m[[#This Row],[DEP_DELAY]]&lt;=15,"No delay",IF(flights_sample_3m[[#This Row],[DEP_DELAY]]&lt;=60,"Short Delay","Long Delay"))</f>
        <v>No delay</v>
      </c>
      <c r="P29" t="str">
        <f>IF(flights_sample_3m[[#This Row],[DEP_DELAY]]&lt;=15,"Delayed","On Time")</f>
        <v>Delayed</v>
      </c>
      <c r="Q29">
        <v>10</v>
      </c>
      <c r="R29">
        <v>902</v>
      </c>
      <c r="S29">
        <v>1014</v>
      </c>
      <c r="T29">
        <v>14</v>
      </c>
      <c r="U29">
        <v>1045</v>
      </c>
      <c r="V29" s="2">
        <v>1028</v>
      </c>
      <c r="W29">
        <v>-17</v>
      </c>
      <c r="X29">
        <v>0</v>
      </c>
      <c r="Y29">
        <v>0</v>
      </c>
      <c r="Z29">
        <v>0</v>
      </c>
      <c r="AA29">
        <v>106</v>
      </c>
      <c r="AB29">
        <v>96</v>
      </c>
      <c r="AC29">
        <v>72</v>
      </c>
      <c r="AD29">
        <v>429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 s="1">
        <v>44626</v>
      </c>
      <c r="B30" s="1" t="str">
        <f>TEXT(flights_sample_3m[[#This Row],[FL_DATE]],"yyyy-mm")</f>
        <v>2022-03</v>
      </c>
      <c r="C30" t="s">
        <v>107</v>
      </c>
      <c r="D30" t="s">
        <v>108</v>
      </c>
      <c r="E30" t="s">
        <v>109</v>
      </c>
      <c r="F30">
        <v>20409</v>
      </c>
      <c r="G30">
        <v>406</v>
      </c>
      <c r="H30" t="s">
        <v>35</v>
      </c>
      <c r="I30" t="s">
        <v>36</v>
      </c>
      <c r="J30" t="s">
        <v>37</v>
      </c>
      <c r="K30" t="s">
        <v>38</v>
      </c>
      <c r="L30">
        <v>2030</v>
      </c>
      <c r="M30" s="2">
        <v>2030</v>
      </c>
      <c r="N30">
        <v>0</v>
      </c>
      <c r="O30" t="str">
        <f>IF(flights_sample_3m[[#This Row],[DEP_DELAY]]&lt;=15,"No delay",IF(flights_sample_3m[[#This Row],[DEP_DELAY]]&lt;=60,"Short Delay","Long Delay"))</f>
        <v>No delay</v>
      </c>
      <c r="P30" t="str">
        <f>IF(flights_sample_3m[[#This Row],[DEP_DELAY]]&lt;=15,"Delayed","On Time")</f>
        <v>Delayed</v>
      </c>
      <c r="Q30">
        <v>14</v>
      </c>
      <c r="R30">
        <v>2044</v>
      </c>
      <c r="S30">
        <v>2309</v>
      </c>
      <c r="T30">
        <v>11</v>
      </c>
      <c r="U30">
        <v>2328</v>
      </c>
      <c r="V30" s="2">
        <v>2320</v>
      </c>
      <c r="W30">
        <v>-8</v>
      </c>
      <c r="X30">
        <v>0</v>
      </c>
      <c r="Y30">
        <v>0</v>
      </c>
      <c r="Z30">
        <v>0</v>
      </c>
      <c r="AA30">
        <v>178</v>
      </c>
      <c r="AB30">
        <v>170</v>
      </c>
      <c r="AC30">
        <v>145</v>
      </c>
      <c r="AD30">
        <v>1065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 s="1">
        <v>45031</v>
      </c>
      <c r="B31" s="1" t="str">
        <f>TEXT(flights_sample_3m[[#This Row],[FL_DATE]],"yyyy-mm")</f>
        <v>2023-04</v>
      </c>
      <c r="C31" t="s">
        <v>71</v>
      </c>
      <c r="D31" t="s">
        <v>72</v>
      </c>
      <c r="E31" t="s">
        <v>73</v>
      </c>
      <c r="F31">
        <v>20452</v>
      </c>
      <c r="G31">
        <v>3615</v>
      </c>
      <c r="H31" t="s">
        <v>42</v>
      </c>
      <c r="I31" t="s">
        <v>43</v>
      </c>
      <c r="J31" t="s">
        <v>37</v>
      </c>
      <c r="K31" t="s">
        <v>38</v>
      </c>
      <c r="L31">
        <v>1325</v>
      </c>
      <c r="M31" s="2">
        <v>714</v>
      </c>
      <c r="N31">
        <v>1069</v>
      </c>
      <c r="O31" t="str">
        <f>IF(flights_sample_3m[[#This Row],[DEP_DELAY]]&lt;=15,"No delay",IF(flights_sample_3m[[#This Row],[DEP_DELAY]]&lt;=60,"Short Delay","Long Delay"))</f>
        <v>Long Delay</v>
      </c>
      <c r="P31" t="str">
        <f>IF(flights_sample_3m[[#This Row],[DEP_DELAY]]&lt;=15,"Delayed","On Time")</f>
        <v>On Time</v>
      </c>
      <c r="Q31">
        <v>55</v>
      </c>
      <c r="R31">
        <v>809</v>
      </c>
      <c r="S31">
        <v>1134</v>
      </c>
      <c r="T31">
        <v>33</v>
      </c>
      <c r="U31">
        <v>1723</v>
      </c>
      <c r="V31" s="2">
        <v>1207</v>
      </c>
      <c r="W31">
        <v>1124</v>
      </c>
      <c r="X31">
        <v>0</v>
      </c>
      <c r="Y31">
        <v>0</v>
      </c>
      <c r="Z31">
        <v>0</v>
      </c>
      <c r="AA31">
        <v>178</v>
      </c>
      <c r="AB31">
        <v>233</v>
      </c>
      <c r="AC31">
        <v>145</v>
      </c>
      <c r="AD31">
        <v>1008</v>
      </c>
      <c r="AE31">
        <v>0</v>
      </c>
      <c r="AF31">
        <v>0</v>
      </c>
      <c r="AG31">
        <v>1124</v>
      </c>
      <c r="AH31">
        <v>0</v>
      </c>
      <c r="AI31">
        <v>0</v>
      </c>
    </row>
    <row r="32" spans="1:35" x14ac:dyDescent="0.3">
      <c r="A32" s="1">
        <v>44929</v>
      </c>
      <c r="B32" s="1" t="str">
        <f>TEXT(flights_sample_3m[[#This Row],[FL_DATE]],"yyyy-mm")</f>
        <v>2023-01</v>
      </c>
      <c r="C32" t="s">
        <v>126</v>
      </c>
      <c r="D32" t="s">
        <v>127</v>
      </c>
      <c r="E32" t="s">
        <v>128</v>
      </c>
      <c r="F32">
        <v>20368</v>
      </c>
      <c r="G32">
        <v>1206</v>
      </c>
      <c r="H32" t="s">
        <v>138</v>
      </c>
      <c r="I32" t="s">
        <v>139</v>
      </c>
      <c r="J32" t="s">
        <v>140</v>
      </c>
      <c r="K32" t="s">
        <v>141</v>
      </c>
      <c r="L32">
        <v>1541</v>
      </c>
      <c r="M32" s="2">
        <v>1531</v>
      </c>
      <c r="N32">
        <v>-10</v>
      </c>
      <c r="O32" t="str">
        <f>IF(flights_sample_3m[[#This Row],[DEP_DELAY]]&lt;=15,"No delay",IF(flights_sample_3m[[#This Row],[DEP_DELAY]]&lt;=60,"Short Delay","Long Delay"))</f>
        <v>No delay</v>
      </c>
      <c r="P32" t="str">
        <f>IF(flights_sample_3m[[#This Row],[DEP_DELAY]]&lt;=15,"Delayed","On Time")</f>
        <v>Delayed</v>
      </c>
      <c r="Q32">
        <v>12</v>
      </c>
      <c r="R32">
        <v>1543</v>
      </c>
      <c r="S32">
        <v>1653</v>
      </c>
      <c r="T32">
        <v>18</v>
      </c>
      <c r="U32">
        <v>1709</v>
      </c>
      <c r="V32" s="2">
        <v>1711</v>
      </c>
      <c r="W32">
        <v>2</v>
      </c>
      <c r="X32">
        <v>0</v>
      </c>
      <c r="Y32">
        <v>0</v>
      </c>
      <c r="Z32">
        <v>0</v>
      </c>
      <c r="AA32">
        <v>88</v>
      </c>
      <c r="AB32">
        <v>100</v>
      </c>
      <c r="AC32">
        <v>70</v>
      </c>
      <c r="AD32">
        <v>457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 s="1">
        <v>43496</v>
      </c>
      <c r="B33" s="1" t="str">
        <f>TEXT(flights_sample_3m[[#This Row],[FL_DATE]],"yyyy-mm")</f>
        <v>2019-01</v>
      </c>
      <c r="C33" t="s">
        <v>64</v>
      </c>
      <c r="D33" t="s">
        <v>65</v>
      </c>
      <c r="E33" t="s">
        <v>66</v>
      </c>
      <c r="F33">
        <v>19805</v>
      </c>
      <c r="G33">
        <v>231</v>
      </c>
      <c r="H33" t="s">
        <v>55</v>
      </c>
      <c r="I33" t="s">
        <v>56</v>
      </c>
      <c r="J33" t="s">
        <v>142</v>
      </c>
      <c r="K33" t="s">
        <v>143</v>
      </c>
      <c r="L33">
        <v>1140</v>
      </c>
      <c r="M33" s="2">
        <v>1135</v>
      </c>
      <c r="N33">
        <v>-5</v>
      </c>
      <c r="O33" t="str">
        <f>IF(flights_sample_3m[[#This Row],[DEP_DELAY]]&lt;=15,"No delay",IF(flights_sample_3m[[#This Row],[DEP_DELAY]]&lt;=60,"Short Delay","Long Delay"))</f>
        <v>No delay</v>
      </c>
      <c r="P33" t="str">
        <f>IF(flights_sample_3m[[#This Row],[DEP_DELAY]]&lt;=15,"Delayed","On Time")</f>
        <v>Delayed</v>
      </c>
      <c r="Q33">
        <v>16</v>
      </c>
      <c r="R33">
        <v>1151</v>
      </c>
      <c r="S33">
        <v>1241</v>
      </c>
      <c r="T33">
        <v>6</v>
      </c>
      <c r="U33">
        <v>1318</v>
      </c>
      <c r="V33" s="2">
        <v>1247</v>
      </c>
      <c r="W33">
        <v>-31</v>
      </c>
      <c r="X33">
        <v>0</v>
      </c>
      <c r="Y33">
        <v>0</v>
      </c>
      <c r="Z33">
        <v>0</v>
      </c>
      <c r="AA33">
        <v>218</v>
      </c>
      <c r="AB33">
        <v>192</v>
      </c>
      <c r="AC33">
        <v>170</v>
      </c>
      <c r="AD33">
        <v>1345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 s="1">
        <v>44355</v>
      </c>
      <c r="B34" s="1" t="str">
        <f>TEXT(flights_sample_3m[[#This Row],[FL_DATE]],"yyyy-mm")</f>
        <v>2021-06</v>
      </c>
      <c r="C34" t="s">
        <v>64</v>
      </c>
      <c r="D34" t="s">
        <v>65</v>
      </c>
      <c r="E34" t="s">
        <v>66</v>
      </c>
      <c r="F34">
        <v>19805</v>
      </c>
      <c r="G34">
        <v>1378</v>
      </c>
      <c r="H34" t="s">
        <v>106</v>
      </c>
      <c r="I34" t="s">
        <v>92</v>
      </c>
      <c r="J34" t="s">
        <v>144</v>
      </c>
      <c r="K34" t="s">
        <v>145</v>
      </c>
      <c r="L34">
        <v>1315</v>
      </c>
      <c r="M34" s="2">
        <v>1316</v>
      </c>
      <c r="N34">
        <v>1</v>
      </c>
      <c r="O34" t="str">
        <f>IF(flights_sample_3m[[#This Row],[DEP_DELAY]]&lt;=15,"No delay",IF(flights_sample_3m[[#This Row],[DEP_DELAY]]&lt;=60,"Short Delay","Long Delay"))</f>
        <v>No delay</v>
      </c>
      <c r="P34" t="str">
        <f>IF(flights_sample_3m[[#This Row],[DEP_DELAY]]&lt;=15,"Delayed","On Time")</f>
        <v>Delayed</v>
      </c>
      <c r="Q34">
        <v>14</v>
      </c>
      <c r="R34">
        <v>1330</v>
      </c>
      <c r="S34">
        <v>1457</v>
      </c>
      <c r="T34">
        <v>8</v>
      </c>
      <c r="U34">
        <v>1516</v>
      </c>
      <c r="V34" s="2">
        <v>1505</v>
      </c>
      <c r="W34">
        <v>-11</v>
      </c>
      <c r="X34">
        <v>0</v>
      </c>
      <c r="Y34">
        <v>0</v>
      </c>
      <c r="Z34">
        <v>0</v>
      </c>
      <c r="AA34">
        <v>181</v>
      </c>
      <c r="AB34">
        <v>169</v>
      </c>
      <c r="AC34">
        <v>147</v>
      </c>
      <c r="AD34">
        <v>1118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">
      <c r="A35" s="1">
        <v>43637</v>
      </c>
      <c r="B35" s="1" t="str">
        <f>TEXT(flights_sample_3m[[#This Row],[FL_DATE]],"yyyy-mm")</f>
        <v>2019-06</v>
      </c>
      <c r="C35" t="s">
        <v>64</v>
      </c>
      <c r="D35" t="s">
        <v>65</v>
      </c>
      <c r="E35" t="s">
        <v>66</v>
      </c>
      <c r="F35">
        <v>19805</v>
      </c>
      <c r="G35">
        <v>1214</v>
      </c>
      <c r="H35" t="s">
        <v>146</v>
      </c>
      <c r="I35" t="s">
        <v>147</v>
      </c>
      <c r="J35" t="s">
        <v>55</v>
      </c>
      <c r="K35" t="s">
        <v>56</v>
      </c>
      <c r="L35">
        <v>600</v>
      </c>
      <c r="M35" s="2">
        <v>558</v>
      </c>
      <c r="N35">
        <v>-2</v>
      </c>
      <c r="O35" t="str">
        <f>IF(flights_sample_3m[[#This Row],[DEP_DELAY]]&lt;=15,"No delay",IF(flights_sample_3m[[#This Row],[DEP_DELAY]]&lt;=60,"Short Delay","Long Delay"))</f>
        <v>No delay</v>
      </c>
      <c r="P35" t="str">
        <f>IF(flights_sample_3m[[#This Row],[DEP_DELAY]]&lt;=15,"Delayed","On Time")</f>
        <v>Delayed</v>
      </c>
      <c r="Q35">
        <v>10</v>
      </c>
      <c r="R35">
        <v>608</v>
      </c>
      <c r="S35">
        <v>915</v>
      </c>
      <c r="T35">
        <v>14</v>
      </c>
      <c r="U35">
        <v>940</v>
      </c>
      <c r="V35" s="2">
        <v>929</v>
      </c>
      <c r="W35">
        <v>-11</v>
      </c>
      <c r="X35">
        <v>0</v>
      </c>
      <c r="Y35">
        <v>0</v>
      </c>
      <c r="Z35">
        <v>0</v>
      </c>
      <c r="AA35">
        <v>160</v>
      </c>
      <c r="AB35">
        <v>151</v>
      </c>
      <c r="AC35">
        <v>127</v>
      </c>
      <c r="AD35">
        <v>989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">
      <c r="A36" s="1">
        <v>44558</v>
      </c>
      <c r="B36" s="1" t="str">
        <f>TEXT(flights_sample_3m[[#This Row],[FL_DATE]],"yyyy-mm")</f>
        <v>2021-12</v>
      </c>
      <c r="C36" t="s">
        <v>148</v>
      </c>
      <c r="D36" t="s">
        <v>149</v>
      </c>
      <c r="E36" t="s">
        <v>150</v>
      </c>
      <c r="F36">
        <v>20304</v>
      </c>
      <c r="G36">
        <v>5311</v>
      </c>
      <c r="H36" t="s">
        <v>76</v>
      </c>
      <c r="I36" t="s">
        <v>77</v>
      </c>
      <c r="J36" t="s">
        <v>151</v>
      </c>
      <c r="K36" t="s">
        <v>152</v>
      </c>
      <c r="L36">
        <v>1805</v>
      </c>
      <c r="M36" s="2">
        <v>1835</v>
      </c>
      <c r="N36">
        <v>30</v>
      </c>
      <c r="O36" t="str">
        <f>IF(flights_sample_3m[[#This Row],[DEP_DELAY]]&lt;=15,"No delay",IF(flights_sample_3m[[#This Row],[DEP_DELAY]]&lt;=60,"Short Delay","Long Delay"))</f>
        <v>Short Delay</v>
      </c>
      <c r="P36" t="str">
        <f>IF(flights_sample_3m[[#This Row],[DEP_DELAY]]&lt;=15,"Delayed","On Time")</f>
        <v>On Time</v>
      </c>
      <c r="Q36">
        <v>16</v>
      </c>
      <c r="R36">
        <v>1851</v>
      </c>
      <c r="S36">
        <v>2121</v>
      </c>
      <c r="T36">
        <v>3</v>
      </c>
      <c r="U36">
        <v>2110</v>
      </c>
      <c r="V36" s="2">
        <v>2124</v>
      </c>
      <c r="W36">
        <v>14</v>
      </c>
      <c r="X36">
        <v>0</v>
      </c>
      <c r="Y36">
        <v>0</v>
      </c>
      <c r="Z36">
        <v>0</v>
      </c>
      <c r="AA36">
        <v>245</v>
      </c>
      <c r="AB36">
        <v>229</v>
      </c>
      <c r="AC36">
        <v>210</v>
      </c>
      <c r="AD36">
        <v>1482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">
      <c r="A37" s="1">
        <v>43824</v>
      </c>
      <c r="B37" s="1" t="str">
        <f>TEXT(flights_sample_3m[[#This Row],[FL_DATE]],"yyyy-mm")</f>
        <v>2019-12</v>
      </c>
      <c r="C37" t="s">
        <v>57</v>
      </c>
      <c r="D37" t="s">
        <v>58</v>
      </c>
      <c r="E37" t="s">
        <v>59</v>
      </c>
      <c r="F37">
        <v>19393</v>
      </c>
      <c r="G37">
        <v>3711</v>
      </c>
      <c r="H37" t="s">
        <v>93</v>
      </c>
      <c r="I37" t="s">
        <v>94</v>
      </c>
      <c r="J37" t="s">
        <v>153</v>
      </c>
      <c r="K37" t="s">
        <v>154</v>
      </c>
      <c r="L37">
        <v>1715</v>
      </c>
      <c r="M37" s="2">
        <v>1711</v>
      </c>
      <c r="N37">
        <v>-4</v>
      </c>
      <c r="O37" t="str">
        <f>IF(flights_sample_3m[[#This Row],[DEP_DELAY]]&lt;=15,"No delay",IF(flights_sample_3m[[#This Row],[DEP_DELAY]]&lt;=60,"Short Delay","Long Delay"))</f>
        <v>No delay</v>
      </c>
      <c r="P37" t="str">
        <f>IF(flights_sample_3m[[#This Row],[DEP_DELAY]]&lt;=15,"Delayed","On Time")</f>
        <v>Delayed</v>
      </c>
      <c r="Q37">
        <v>8</v>
      </c>
      <c r="R37">
        <v>1719</v>
      </c>
      <c r="S37">
        <v>1835</v>
      </c>
      <c r="T37">
        <v>6</v>
      </c>
      <c r="U37">
        <v>1855</v>
      </c>
      <c r="V37" s="2">
        <v>1841</v>
      </c>
      <c r="W37">
        <v>-14</v>
      </c>
      <c r="X37">
        <v>0</v>
      </c>
      <c r="Y37">
        <v>0</v>
      </c>
      <c r="Z37">
        <v>0</v>
      </c>
      <c r="AA37">
        <v>100</v>
      </c>
      <c r="AB37">
        <v>90</v>
      </c>
      <c r="AC37">
        <v>76</v>
      </c>
      <c r="AD37">
        <v>491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">
      <c r="A38" s="1">
        <v>45130</v>
      </c>
      <c r="B38" s="1" t="str">
        <f>TEXT(flights_sample_3m[[#This Row],[FL_DATE]],"yyyy-mm")</f>
        <v>2023-07</v>
      </c>
      <c r="C38" t="s">
        <v>32</v>
      </c>
      <c r="D38" t="s">
        <v>33</v>
      </c>
      <c r="E38" t="s">
        <v>34</v>
      </c>
      <c r="F38">
        <v>19977</v>
      </c>
      <c r="G38">
        <v>1182</v>
      </c>
      <c r="H38" t="s">
        <v>155</v>
      </c>
      <c r="I38" t="s">
        <v>156</v>
      </c>
      <c r="J38" t="s">
        <v>76</v>
      </c>
      <c r="K38" t="s">
        <v>77</v>
      </c>
      <c r="L38">
        <v>520</v>
      </c>
      <c r="M38" s="2">
        <v>521</v>
      </c>
      <c r="N38">
        <v>1</v>
      </c>
      <c r="O38" t="str">
        <f>IF(flights_sample_3m[[#This Row],[DEP_DELAY]]&lt;=15,"No delay",IF(flights_sample_3m[[#This Row],[DEP_DELAY]]&lt;=60,"Short Delay","Long Delay"))</f>
        <v>No delay</v>
      </c>
      <c r="P38" t="str">
        <f>IF(flights_sample_3m[[#This Row],[DEP_DELAY]]&lt;=15,"Delayed","On Time")</f>
        <v>Delayed</v>
      </c>
      <c r="Q38">
        <v>18</v>
      </c>
      <c r="R38">
        <v>539</v>
      </c>
      <c r="S38">
        <v>606</v>
      </c>
      <c r="T38">
        <v>9</v>
      </c>
      <c r="U38">
        <v>617</v>
      </c>
      <c r="V38" s="2">
        <v>615</v>
      </c>
      <c r="W38">
        <v>-2</v>
      </c>
      <c r="X38">
        <v>0</v>
      </c>
      <c r="Y38">
        <v>0</v>
      </c>
      <c r="Z38">
        <v>0</v>
      </c>
      <c r="AA38">
        <v>57</v>
      </c>
      <c r="AB38">
        <v>54</v>
      </c>
      <c r="AC38">
        <v>27</v>
      </c>
      <c r="AD38">
        <v>140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">
      <c r="A39" s="1">
        <v>43664</v>
      </c>
      <c r="B39" s="1" t="str">
        <f>TEXT(flights_sample_3m[[#This Row],[FL_DATE]],"yyyy-mm")</f>
        <v>2019-07</v>
      </c>
      <c r="C39" t="s">
        <v>57</v>
      </c>
      <c r="D39" t="s">
        <v>58</v>
      </c>
      <c r="E39" t="s">
        <v>59</v>
      </c>
      <c r="F39">
        <v>19393</v>
      </c>
      <c r="G39">
        <v>992</v>
      </c>
      <c r="H39" t="s">
        <v>157</v>
      </c>
      <c r="I39" t="s">
        <v>158</v>
      </c>
      <c r="J39" t="s">
        <v>159</v>
      </c>
      <c r="K39" t="s">
        <v>160</v>
      </c>
      <c r="L39">
        <v>2135</v>
      </c>
      <c r="M39" s="2">
        <v>2254</v>
      </c>
      <c r="N39">
        <v>79</v>
      </c>
      <c r="O39" t="str">
        <f>IF(flights_sample_3m[[#This Row],[DEP_DELAY]]&lt;=15,"No delay",IF(flights_sample_3m[[#This Row],[DEP_DELAY]]&lt;=60,"Short Delay","Long Delay"))</f>
        <v>Long Delay</v>
      </c>
      <c r="P39" t="str">
        <f>IF(flights_sample_3m[[#This Row],[DEP_DELAY]]&lt;=15,"Delayed","On Time")</f>
        <v>On Time</v>
      </c>
      <c r="Q39">
        <v>6</v>
      </c>
      <c r="R39">
        <v>2300</v>
      </c>
      <c r="S39">
        <v>44</v>
      </c>
      <c r="T39">
        <v>3</v>
      </c>
      <c r="U39">
        <v>2350</v>
      </c>
      <c r="V39" s="2">
        <v>47</v>
      </c>
      <c r="W39">
        <v>57</v>
      </c>
      <c r="X39">
        <v>0</v>
      </c>
      <c r="Y39">
        <v>0</v>
      </c>
      <c r="Z39">
        <v>0</v>
      </c>
      <c r="AA39">
        <v>135</v>
      </c>
      <c r="AB39">
        <v>113</v>
      </c>
      <c r="AC39">
        <v>104</v>
      </c>
      <c r="AD39">
        <v>837</v>
      </c>
      <c r="AE39">
        <v>57</v>
      </c>
      <c r="AF39">
        <v>0</v>
      </c>
      <c r="AG39">
        <v>0</v>
      </c>
      <c r="AH39">
        <v>0</v>
      </c>
      <c r="AI39">
        <v>0</v>
      </c>
    </row>
    <row r="40" spans="1:35" x14ac:dyDescent="0.3">
      <c r="A40" s="1">
        <v>43771</v>
      </c>
      <c r="B40" s="1" t="str">
        <f>TEXT(flights_sample_3m[[#This Row],[FL_DATE]],"yyyy-mm")</f>
        <v>2019-11</v>
      </c>
      <c r="C40" t="s">
        <v>64</v>
      </c>
      <c r="D40" t="s">
        <v>65</v>
      </c>
      <c r="E40" t="s">
        <v>66</v>
      </c>
      <c r="F40">
        <v>19805</v>
      </c>
      <c r="G40">
        <v>2520</v>
      </c>
      <c r="H40" t="s">
        <v>55</v>
      </c>
      <c r="I40" t="s">
        <v>56</v>
      </c>
      <c r="J40" t="s">
        <v>106</v>
      </c>
      <c r="K40" t="s">
        <v>92</v>
      </c>
      <c r="L40">
        <v>1851</v>
      </c>
      <c r="M40" s="2">
        <v>1859</v>
      </c>
      <c r="N40">
        <v>8</v>
      </c>
      <c r="O40" t="str">
        <f>IF(flights_sample_3m[[#This Row],[DEP_DELAY]]&lt;=15,"No delay",IF(flights_sample_3m[[#This Row],[DEP_DELAY]]&lt;=60,"Short Delay","Long Delay"))</f>
        <v>No delay</v>
      </c>
      <c r="P40" t="str">
        <f>IF(flights_sample_3m[[#This Row],[DEP_DELAY]]&lt;=15,"Delayed","On Time")</f>
        <v>Delayed</v>
      </c>
      <c r="Q40">
        <v>13</v>
      </c>
      <c r="R40">
        <v>1912</v>
      </c>
      <c r="S40">
        <v>2058</v>
      </c>
      <c r="T40">
        <v>12</v>
      </c>
      <c r="U40">
        <v>2119</v>
      </c>
      <c r="V40" s="2">
        <v>2110</v>
      </c>
      <c r="W40">
        <v>-9</v>
      </c>
      <c r="X40">
        <v>0</v>
      </c>
      <c r="Y40">
        <v>0</v>
      </c>
      <c r="Z40">
        <v>0</v>
      </c>
      <c r="AA40">
        <v>148</v>
      </c>
      <c r="AB40">
        <v>131</v>
      </c>
      <c r="AC40">
        <v>106</v>
      </c>
      <c r="AD40">
        <v>801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">
      <c r="A41" s="1">
        <v>44348</v>
      </c>
      <c r="B41" s="1" t="str">
        <f>TEXT(flights_sample_3m[[#This Row],[FL_DATE]],"yyyy-mm")</f>
        <v>2021-06</v>
      </c>
      <c r="C41" t="s">
        <v>148</v>
      </c>
      <c r="D41" t="s">
        <v>149</v>
      </c>
      <c r="E41" t="s">
        <v>150</v>
      </c>
      <c r="F41">
        <v>20304</v>
      </c>
      <c r="G41">
        <v>3032</v>
      </c>
      <c r="H41" t="s">
        <v>55</v>
      </c>
      <c r="I41" t="s">
        <v>56</v>
      </c>
      <c r="J41" t="s">
        <v>161</v>
      </c>
      <c r="K41" t="s">
        <v>162</v>
      </c>
      <c r="L41">
        <v>1900</v>
      </c>
      <c r="M41" s="2">
        <v>1859</v>
      </c>
      <c r="N41">
        <v>-1</v>
      </c>
      <c r="O41" t="str">
        <f>IF(flights_sample_3m[[#This Row],[DEP_DELAY]]&lt;=15,"No delay",IF(flights_sample_3m[[#This Row],[DEP_DELAY]]&lt;=60,"Short Delay","Long Delay"))</f>
        <v>No delay</v>
      </c>
      <c r="P41" t="str">
        <f>IF(flights_sample_3m[[#This Row],[DEP_DELAY]]&lt;=15,"Delayed","On Time")</f>
        <v>Delayed</v>
      </c>
      <c r="Q41">
        <v>15</v>
      </c>
      <c r="R41">
        <v>1914</v>
      </c>
      <c r="S41">
        <v>2048</v>
      </c>
      <c r="T41">
        <v>4</v>
      </c>
      <c r="U41">
        <v>2058</v>
      </c>
      <c r="V41" s="2">
        <v>2052</v>
      </c>
      <c r="W41">
        <v>-6</v>
      </c>
      <c r="X41">
        <v>0</v>
      </c>
      <c r="Y41">
        <v>0</v>
      </c>
      <c r="Z41">
        <v>0</v>
      </c>
      <c r="AA41">
        <v>178</v>
      </c>
      <c r="AB41">
        <v>173</v>
      </c>
      <c r="AC41">
        <v>154</v>
      </c>
      <c r="AD41">
        <v>1081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">
      <c r="A42" s="1">
        <v>44709</v>
      </c>
      <c r="B42" s="1" t="str">
        <f>TEXT(flights_sample_3m[[#This Row],[FL_DATE]],"yyyy-mm")</f>
        <v>2022-05</v>
      </c>
      <c r="C42" t="s">
        <v>71</v>
      </c>
      <c r="D42" t="s">
        <v>72</v>
      </c>
      <c r="E42" t="s">
        <v>73</v>
      </c>
      <c r="F42">
        <v>20452</v>
      </c>
      <c r="G42">
        <v>3593</v>
      </c>
      <c r="H42" t="s">
        <v>163</v>
      </c>
      <c r="I42" t="s">
        <v>164</v>
      </c>
      <c r="J42" t="s">
        <v>37</v>
      </c>
      <c r="K42" t="s">
        <v>38</v>
      </c>
      <c r="L42">
        <v>600</v>
      </c>
      <c r="M42" s="2">
        <v>555</v>
      </c>
      <c r="N42">
        <v>-5</v>
      </c>
      <c r="O42" t="str">
        <f>IF(flights_sample_3m[[#This Row],[DEP_DELAY]]&lt;=15,"No delay",IF(flights_sample_3m[[#This Row],[DEP_DELAY]]&lt;=60,"Short Delay","Long Delay"))</f>
        <v>No delay</v>
      </c>
      <c r="P42" t="str">
        <f>IF(flights_sample_3m[[#This Row],[DEP_DELAY]]&lt;=15,"Delayed","On Time")</f>
        <v>Delayed</v>
      </c>
      <c r="Q42">
        <v>18</v>
      </c>
      <c r="R42">
        <v>613</v>
      </c>
      <c r="S42">
        <v>700</v>
      </c>
      <c r="T42">
        <v>6</v>
      </c>
      <c r="U42">
        <v>737</v>
      </c>
      <c r="V42" s="2">
        <v>706</v>
      </c>
      <c r="W42">
        <v>-31</v>
      </c>
      <c r="X42">
        <v>0</v>
      </c>
      <c r="Y42">
        <v>0</v>
      </c>
      <c r="Z42">
        <v>0</v>
      </c>
      <c r="AA42">
        <v>97</v>
      </c>
      <c r="AB42">
        <v>71</v>
      </c>
      <c r="AC42">
        <v>47</v>
      </c>
      <c r="AD42">
        <v>209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">
      <c r="A43" s="1">
        <v>44842</v>
      </c>
      <c r="B43" s="1" t="str">
        <f>TEXT(flights_sample_3m[[#This Row],[FL_DATE]],"yyyy-mm")</f>
        <v>2022-10</v>
      </c>
      <c r="C43" t="s">
        <v>64</v>
      </c>
      <c r="D43" t="s">
        <v>65</v>
      </c>
      <c r="E43" t="s">
        <v>66</v>
      </c>
      <c r="F43">
        <v>19805</v>
      </c>
      <c r="G43">
        <v>2720</v>
      </c>
      <c r="H43" t="s">
        <v>55</v>
      </c>
      <c r="I43" t="s">
        <v>56</v>
      </c>
      <c r="J43" t="s">
        <v>165</v>
      </c>
      <c r="K43" t="s">
        <v>166</v>
      </c>
      <c r="L43">
        <v>826</v>
      </c>
      <c r="M43" s="2">
        <v>820</v>
      </c>
      <c r="N43">
        <v>-6</v>
      </c>
      <c r="O43" t="str">
        <f>IF(flights_sample_3m[[#This Row],[DEP_DELAY]]&lt;=15,"No delay",IF(flights_sample_3m[[#This Row],[DEP_DELAY]]&lt;=60,"Short Delay","Long Delay"))</f>
        <v>No delay</v>
      </c>
      <c r="P43" t="str">
        <f>IF(flights_sample_3m[[#This Row],[DEP_DELAY]]&lt;=15,"Delayed","On Time")</f>
        <v>Delayed</v>
      </c>
      <c r="Q43">
        <v>18</v>
      </c>
      <c r="R43">
        <v>838</v>
      </c>
      <c r="S43">
        <v>832</v>
      </c>
      <c r="T43">
        <v>5</v>
      </c>
      <c r="U43">
        <v>850</v>
      </c>
      <c r="V43" s="2">
        <v>837</v>
      </c>
      <c r="W43">
        <v>-13</v>
      </c>
      <c r="X43">
        <v>0</v>
      </c>
      <c r="Y43">
        <v>0</v>
      </c>
      <c r="Z43">
        <v>0</v>
      </c>
      <c r="AA43">
        <v>144</v>
      </c>
      <c r="AB43">
        <v>137</v>
      </c>
      <c r="AC43">
        <v>114</v>
      </c>
      <c r="AD43">
        <v>813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">
      <c r="A44" s="1">
        <v>44132</v>
      </c>
      <c r="B44" s="1" t="str">
        <f>TEXT(flights_sample_3m[[#This Row],[FL_DATE]],"yyyy-mm")</f>
        <v>2020-10</v>
      </c>
      <c r="C44" t="s">
        <v>167</v>
      </c>
      <c r="D44" t="s">
        <v>168</v>
      </c>
      <c r="E44" t="s">
        <v>169</v>
      </c>
      <c r="F44">
        <v>20363</v>
      </c>
      <c r="G44">
        <v>5047</v>
      </c>
      <c r="H44" t="s">
        <v>89</v>
      </c>
      <c r="I44" t="s">
        <v>90</v>
      </c>
      <c r="J44" t="s">
        <v>170</v>
      </c>
      <c r="K44" t="s">
        <v>171</v>
      </c>
      <c r="L44">
        <v>1745</v>
      </c>
      <c r="M44" s="2">
        <v>1740</v>
      </c>
      <c r="N44">
        <v>-5</v>
      </c>
      <c r="O44" t="str">
        <f>IF(flights_sample_3m[[#This Row],[DEP_DELAY]]&lt;=15,"No delay",IF(flights_sample_3m[[#This Row],[DEP_DELAY]]&lt;=60,"Short Delay","Long Delay"))</f>
        <v>No delay</v>
      </c>
      <c r="P44" t="str">
        <f>IF(flights_sample_3m[[#This Row],[DEP_DELAY]]&lt;=15,"Delayed","On Time")</f>
        <v>Delayed</v>
      </c>
      <c r="Q44">
        <v>11</v>
      </c>
      <c r="R44">
        <v>1751</v>
      </c>
      <c r="S44">
        <v>1907</v>
      </c>
      <c r="T44">
        <v>14</v>
      </c>
      <c r="U44">
        <v>1932</v>
      </c>
      <c r="V44" s="2">
        <v>1921</v>
      </c>
      <c r="W44">
        <v>-11</v>
      </c>
      <c r="X44">
        <v>0</v>
      </c>
      <c r="Y44">
        <v>0</v>
      </c>
      <c r="Z44">
        <v>0</v>
      </c>
      <c r="AA44">
        <v>107</v>
      </c>
      <c r="AB44">
        <v>101</v>
      </c>
      <c r="AC44">
        <v>76</v>
      </c>
      <c r="AD44">
        <v>501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">
      <c r="A45" s="1">
        <v>43466</v>
      </c>
      <c r="B45" s="1" t="str">
        <f>TEXT(flights_sample_3m[[#This Row],[FL_DATE]],"yyyy-mm")</f>
        <v>2019-01</v>
      </c>
      <c r="C45" t="s">
        <v>39</v>
      </c>
      <c r="D45" t="s">
        <v>40</v>
      </c>
      <c r="E45" t="s">
        <v>41</v>
      </c>
      <c r="F45">
        <v>19790</v>
      </c>
      <c r="G45">
        <v>345</v>
      </c>
      <c r="H45" t="s">
        <v>85</v>
      </c>
      <c r="I45" t="s">
        <v>86</v>
      </c>
      <c r="J45" t="s">
        <v>172</v>
      </c>
      <c r="K45" t="s">
        <v>173</v>
      </c>
      <c r="L45">
        <v>939</v>
      </c>
      <c r="M45" s="2">
        <v>935</v>
      </c>
      <c r="N45">
        <v>-4</v>
      </c>
      <c r="O45" t="str">
        <f>IF(flights_sample_3m[[#This Row],[DEP_DELAY]]&lt;=15,"No delay",IF(flights_sample_3m[[#This Row],[DEP_DELAY]]&lt;=60,"Short Delay","Long Delay"))</f>
        <v>No delay</v>
      </c>
      <c r="P45" t="str">
        <f>IF(flights_sample_3m[[#This Row],[DEP_DELAY]]&lt;=15,"Delayed","On Time")</f>
        <v>Delayed</v>
      </c>
      <c r="Q45">
        <v>12</v>
      </c>
      <c r="R45">
        <v>947</v>
      </c>
      <c r="S45">
        <v>1041</v>
      </c>
      <c r="T45">
        <v>3</v>
      </c>
      <c r="U45">
        <v>1055</v>
      </c>
      <c r="V45" s="2">
        <v>1044</v>
      </c>
      <c r="W45">
        <v>-11</v>
      </c>
      <c r="X45">
        <v>0</v>
      </c>
      <c r="Y45">
        <v>0</v>
      </c>
      <c r="Z45">
        <v>0</v>
      </c>
      <c r="AA45">
        <v>76</v>
      </c>
      <c r="AB45">
        <v>69</v>
      </c>
      <c r="AC45">
        <v>54</v>
      </c>
      <c r="AD45">
        <v>366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">
      <c r="A46" s="1">
        <v>44193</v>
      </c>
      <c r="B46" s="1" t="str">
        <f>TEXT(flights_sample_3m[[#This Row],[FL_DATE]],"yyyy-mm")</f>
        <v>2020-12</v>
      </c>
      <c r="C46" t="s">
        <v>148</v>
      </c>
      <c r="D46" t="s">
        <v>149</v>
      </c>
      <c r="E46" t="s">
        <v>150</v>
      </c>
      <c r="F46">
        <v>20304</v>
      </c>
      <c r="G46">
        <v>5327</v>
      </c>
      <c r="H46" t="s">
        <v>48</v>
      </c>
      <c r="I46" t="s">
        <v>49</v>
      </c>
      <c r="J46" t="s">
        <v>151</v>
      </c>
      <c r="K46" t="s">
        <v>152</v>
      </c>
      <c r="L46">
        <v>1825</v>
      </c>
      <c r="M46" s="2">
        <v>1823</v>
      </c>
      <c r="N46">
        <v>-2</v>
      </c>
      <c r="O46" t="str">
        <f>IF(flights_sample_3m[[#This Row],[DEP_DELAY]]&lt;=15,"No delay",IF(flights_sample_3m[[#This Row],[DEP_DELAY]]&lt;=60,"Short Delay","Long Delay"))</f>
        <v>No delay</v>
      </c>
      <c r="P46" t="str">
        <f>IF(flights_sample_3m[[#This Row],[DEP_DELAY]]&lt;=15,"Delayed","On Time")</f>
        <v>Delayed</v>
      </c>
      <c r="Q46">
        <v>17</v>
      </c>
      <c r="R46">
        <v>1840</v>
      </c>
      <c r="S46">
        <v>2108</v>
      </c>
      <c r="T46">
        <v>3</v>
      </c>
      <c r="U46">
        <v>2105</v>
      </c>
      <c r="V46" s="2">
        <v>2111</v>
      </c>
      <c r="W46">
        <v>6</v>
      </c>
      <c r="X46">
        <v>0</v>
      </c>
      <c r="Y46">
        <v>0</v>
      </c>
      <c r="Z46">
        <v>0</v>
      </c>
      <c r="AA46">
        <v>100</v>
      </c>
      <c r="AB46">
        <v>108</v>
      </c>
      <c r="AC46">
        <v>88</v>
      </c>
      <c r="AD46">
        <v>522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">
      <c r="A47" s="1">
        <v>44563</v>
      </c>
      <c r="B47" s="1" t="str">
        <f>TEXT(flights_sample_3m[[#This Row],[FL_DATE]],"yyyy-mm")</f>
        <v>2022-01</v>
      </c>
      <c r="C47" t="s">
        <v>71</v>
      </c>
      <c r="D47" t="s">
        <v>72</v>
      </c>
      <c r="E47" t="s">
        <v>73</v>
      </c>
      <c r="F47">
        <v>20452</v>
      </c>
      <c r="G47">
        <v>3467</v>
      </c>
      <c r="H47" t="s">
        <v>106</v>
      </c>
      <c r="I47" t="s">
        <v>92</v>
      </c>
      <c r="J47" t="s">
        <v>67</v>
      </c>
      <c r="K47" t="s">
        <v>68</v>
      </c>
      <c r="L47">
        <v>1935</v>
      </c>
      <c r="M47" s="2">
        <v>0</v>
      </c>
      <c r="N47">
        <v>0</v>
      </c>
      <c r="O47" t="str">
        <f>IF(flights_sample_3m[[#This Row],[DEP_DELAY]]&lt;=15,"No delay",IF(flights_sample_3m[[#This Row],[DEP_DELAY]]&lt;=60,"Short Delay","Long Delay"))</f>
        <v>No delay</v>
      </c>
      <c r="P47" t="str">
        <f>IF(flights_sample_3m[[#This Row],[DEP_DELAY]]&lt;=15,"Delayed","On Time")</f>
        <v>Delayed</v>
      </c>
      <c r="Q47">
        <v>0</v>
      </c>
      <c r="R47">
        <v>0</v>
      </c>
      <c r="S47">
        <v>0</v>
      </c>
      <c r="T47">
        <v>0</v>
      </c>
      <c r="U47">
        <v>2241</v>
      </c>
      <c r="V47" s="2">
        <v>0</v>
      </c>
      <c r="W47">
        <v>0</v>
      </c>
      <c r="X47">
        <v>1</v>
      </c>
      <c r="Y47" t="s">
        <v>174</v>
      </c>
      <c r="Z47">
        <v>0</v>
      </c>
      <c r="AA47">
        <v>126</v>
      </c>
      <c r="AB47">
        <v>0</v>
      </c>
      <c r="AC47">
        <v>0</v>
      </c>
      <c r="AD47">
        <v>612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">
      <c r="A48" s="1">
        <v>44698</v>
      </c>
      <c r="B48" s="1" t="str">
        <f>TEXT(flights_sample_3m[[#This Row],[FL_DATE]],"yyyy-mm")</f>
        <v>2022-05</v>
      </c>
      <c r="C48" t="s">
        <v>57</v>
      </c>
      <c r="D48" t="s">
        <v>58</v>
      </c>
      <c r="E48" t="s">
        <v>59</v>
      </c>
      <c r="F48">
        <v>19393</v>
      </c>
      <c r="G48">
        <v>4041</v>
      </c>
      <c r="H48" t="s">
        <v>98</v>
      </c>
      <c r="I48" t="s">
        <v>99</v>
      </c>
      <c r="J48" t="s">
        <v>163</v>
      </c>
      <c r="K48" t="s">
        <v>164</v>
      </c>
      <c r="L48">
        <v>755</v>
      </c>
      <c r="M48" s="2">
        <v>750</v>
      </c>
      <c r="N48">
        <v>-5</v>
      </c>
      <c r="O48" t="str">
        <f>IF(flights_sample_3m[[#This Row],[DEP_DELAY]]&lt;=15,"No delay",IF(flights_sample_3m[[#This Row],[DEP_DELAY]]&lt;=60,"Short Delay","Long Delay"))</f>
        <v>No delay</v>
      </c>
      <c r="P48" t="str">
        <f>IF(flights_sample_3m[[#This Row],[DEP_DELAY]]&lt;=15,"Delayed","On Time")</f>
        <v>Delayed</v>
      </c>
      <c r="Q48">
        <v>13</v>
      </c>
      <c r="R48">
        <v>803</v>
      </c>
      <c r="S48">
        <v>902</v>
      </c>
      <c r="T48">
        <v>5</v>
      </c>
      <c r="U48">
        <v>915</v>
      </c>
      <c r="V48" s="2">
        <v>907</v>
      </c>
      <c r="W48">
        <v>-8</v>
      </c>
      <c r="X48">
        <v>0</v>
      </c>
      <c r="Y48">
        <v>0</v>
      </c>
      <c r="Z48">
        <v>0</v>
      </c>
      <c r="AA48">
        <v>80</v>
      </c>
      <c r="AB48">
        <v>77</v>
      </c>
      <c r="AC48">
        <v>59</v>
      </c>
      <c r="AD48">
        <v>377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">
      <c r="A49" s="1">
        <v>43894</v>
      </c>
      <c r="B49" s="1" t="str">
        <f>TEXT(flights_sample_3m[[#This Row],[FL_DATE]],"yyyy-mm")</f>
        <v>2020-03</v>
      </c>
      <c r="C49" t="s">
        <v>32</v>
      </c>
      <c r="D49" t="s">
        <v>33</v>
      </c>
      <c r="E49" t="s">
        <v>34</v>
      </c>
      <c r="F49">
        <v>19977</v>
      </c>
      <c r="G49">
        <v>1013</v>
      </c>
      <c r="H49" t="s">
        <v>48</v>
      </c>
      <c r="I49" t="s">
        <v>49</v>
      </c>
      <c r="J49" t="s">
        <v>46</v>
      </c>
      <c r="K49" t="s">
        <v>47</v>
      </c>
      <c r="L49">
        <v>1252</v>
      </c>
      <c r="M49" s="2">
        <v>1251</v>
      </c>
      <c r="N49">
        <v>-1</v>
      </c>
      <c r="O49" t="str">
        <f>IF(flights_sample_3m[[#This Row],[DEP_DELAY]]&lt;=15,"No delay",IF(flights_sample_3m[[#This Row],[DEP_DELAY]]&lt;=60,"Short Delay","Long Delay"))</f>
        <v>No delay</v>
      </c>
      <c r="P49" t="str">
        <f>IF(flights_sample_3m[[#This Row],[DEP_DELAY]]&lt;=15,"Delayed","On Time")</f>
        <v>Delayed</v>
      </c>
      <c r="Q49">
        <v>20</v>
      </c>
      <c r="R49">
        <v>1311</v>
      </c>
      <c r="S49">
        <v>1612</v>
      </c>
      <c r="T49">
        <v>9</v>
      </c>
      <c r="U49">
        <v>1629</v>
      </c>
      <c r="V49" s="2">
        <v>1621</v>
      </c>
      <c r="W49">
        <v>-8</v>
      </c>
      <c r="X49">
        <v>0</v>
      </c>
      <c r="Y49">
        <v>0</v>
      </c>
      <c r="Z49">
        <v>0</v>
      </c>
      <c r="AA49">
        <v>157</v>
      </c>
      <c r="AB49">
        <v>150</v>
      </c>
      <c r="AC49">
        <v>121</v>
      </c>
      <c r="AD49">
        <v>967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">
      <c r="A50" s="1">
        <v>44550</v>
      </c>
      <c r="B50" s="1" t="str">
        <f>TEXT(flights_sample_3m[[#This Row],[FL_DATE]],"yyyy-mm")</f>
        <v>2021-12</v>
      </c>
      <c r="C50" t="s">
        <v>148</v>
      </c>
      <c r="D50" t="s">
        <v>149</v>
      </c>
      <c r="E50" t="s">
        <v>150</v>
      </c>
      <c r="F50">
        <v>20304</v>
      </c>
      <c r="G50">
        <v>5056</v>
      </c>
      <c r="H50" t="s">
        <v>175</v>
      </c>
      <c r="I50" t="s">
        <v>176</v>
      </c>
      <c r="J50" t="s">
        <v>46</v>
      </c>
      <c r="K50" t="s">
        <v>47</v>
      </c>
      <c r="L50">
        <v>600</v>
      </c>
      <c r="M50" s="2">
        <v>608</v>
      </c>
      <c r="N50">
        <v>8</v>
      </c>
      <c r="O50" t="str">
        <f>IF(flights_sample_3m[[#This Row],[DEP_DELAY]]&lt;=15,"No delay",IF(flights_sample_3m[[#This Row],[DEP_DELAY]]&lt;=60,"Short Delay","Long Delay"))</f>
        <v>No delay</v>
      </c>
      <c r="P50" t="str">
        <f>IF(flights_sample_3m[[#This Row],[DEP_DELAY]]&lt;=15,"Delayed","On Time")</f>
        <v>Delayed</v>
      </c>
      <c r="Q50">
        <v>11</v>
      </c>
      <c r="R50">
        <v>619</v>
      </c>
      <c r="S50">
        <v>739</v>
      </c>
      <c r="T50">
        <v>10</v>
      </c>
      <c r="U50">
        <v>759</v>
      </c>
      <c r="V50" s="2">
        <v>749</v>
      </c>
      <c r="W50">
        <v>-10</v>
      </c>
      <c r="X50">
        <v>0</v>
      </c>
      <c r="Y50">
        <v>0</v>
      </c>
      <c r="Z50">
        <v>0</v>
      </c>
      <c r="AA50">
        <v>119</v>
      </c>
      <c r="AB50">
        <v>101</v>
      </c>
      <c r="AC50">
        <v>80</v>
      </c>
      <c r="AD50">
        <v>557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">
      <c r="A51" s="1">
        <v>45110</v>
      </c>
      <c r="B51" s="1" t="str">
        <f>TEXT(flights_sample_3m[[#This Row],[FL_DATE]],"yyyy-mm")</f>
        <v>2023-07</v>
      </c>
      <c r="C51" t="s">
        <v>107</v>
      </c>
      <c r="D51" t="s">
        <v>108</v>
      </c>
      <c r="E51" t="s">
        <v>109</v>
      </c>
      <c r="F51">
        <v>20409</v>
      </c>
      <c r="G51">
        <v>431</v>
      </c>
      <c r="H51" t="s">
        <v>69</v>
      </c>
      <c r="I51" t="s">
        <v>70</v>
      </c>
      <c r="J51" t="s">
        <v>177</v>
      </c>
      <c r="K51" t="s">
        <v>111</v>
      </c>
      <c r="L51">
        <v>1400</v>
      </c>
      <c r="M51" s="2">
        <v>1350</v>
      </c>
      <c r="N51">
        <v>-10</v>
      </c>
      <c r="O51" t="str">
        <f>IF(flights_sample_3m[[#This Row],[DEP_DELAY]]&lt;=15,"No delay",IF(flights_sample_3m[[#This Row],[DEP_DELAY]]&lt;=60,"Short Delay","Long Delay"))</f>
        <v>No delay</v>
      </c>
      <c r="P51" t="str">
        <f>IF(flights_sample_3m[[#This Row],[DEP_DELAY]]&lt;=15,"Delayed","On Time")</f>
        <v>Delayed</v>
      </c>
      <c r="Q51">
        <v>15</v>
      </c>
      <c r="R51">
        <v>1405</v>
      </c>
      <c r="S51">
        <v>1449</v>
      </c>
      <c r="T51">
        <v>6</v>
      </c>
      <c r="U51">
        <v>1521</v>
      </c>
      <c r="V51" s="2">
        <v>1455</v>
      </c>
      <c r="W51">
        <v>-26</v>
      </c>
      <c r="X51">
        <v>0</v>
      </c>
      <c r="Y51">
        <v>0</v>
      </c>
      <c r="Z51">
        <v>0</v>
      </c>
      <c r="AA51">
        <v>81</v>
      </c>
      <c r="AB51">
        <v>65</v>
      </c>
      <c r="AC51">
        <v>44</v>
      </c>
      <c r="AD51">
        <v>184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">
      <c r="A52" s="1">
        <v>43836</v>
      </c>
      <c r="B52" s="1" t="str">
        <f>TEXT(flights_sample_3m[[#This Row],[FL_DATE]],"yyyy-mm")</f>
        <v>2020-01</v>
      </c>
      <c r="C52" t="s">
        <v>39</v>
      </c>
      <c r="D52" t="s">
        <v>40</v>
      </c>
      <c r="E52" t="s">
        <v>41</v>
      </c>
      <c r="F52">
        <v>19790</v>
      </c>
      <c r="G52">
        <v>1530</v>
      </c>
      <c r="H52" t="s">
        <v>78</v>
      </c>
      <c r="I52" t="s">
        <v>79</v>
      </c>
      <c r="J52" t="s">
        <v>85</v>
      </c>
      <c r="K52" t="s">
        <v>86</v>
      </c>
      <c r="L52">
        <v>1030</v>
      </c>
      <c r="M52" s="2">
        <v>1035</v>
      </c>
      <c r="N52">
        <v>5</v>
      </c>
      <c r="O52" t="str">
        <f>IF(flights_sample_3m[[#This Row],[DEP_DELAY]]&lt;=15,"No delay",IF(flights_sample_3m[[#This Row],[DEP_DELAY]]&lt;=60,"Short Delay","Long Delay"))</f>
        <v>No delay</v>
      </c>
      <c r="P52" t="str">
        <f>IF(flights_sample_3m[[#This Row],[DEP_DELAY]]&lt;=15,"Delayed","On Time")</f>
        <v>Delayed</v>
      </c>
      <c r="Q52">
        <v>15</v>
      </c>
      <c r="R52">
        <v>1050</v>
      </c>
      <c r="S52">
        <v>1724</v>
      </c>
      <c r="T52">
        <v>4</v>
      </c>
      <c r="U52">
        <v>1740</v>
      </c>
      <c r="V52" s="2">
        <v>1728</v>
      </c>
      <c r="W52">
        <v>-12</v>
      </c>
      <c r="X52">
        <v>0</v>
      </c>
      <c r="Y52">
        <v>0</v>
      </c>
      <c r="Z52">
        <v>0</v>
      </c>
      <c r="AA52">
        <v>250</v>
      </c>
      <c r="AB52">
        <v>233</v>
      </c>
      <c r="AC52">
        <v>214</v>
      </c>
      <c r="AD52">
        <v>1947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">
      <c r="A53" s="1">
        <v>44253</v>
      </c>
      <c r="B53" s="1" t="str">
        <f>TEXT(flights_sample_3m[[#This Row],[FL_DATE]],"yyyy-mm")</f>
        <v>2021-02</v>
      </c>
      <c r="C53" t="s">
        <v>32</v>
      </c>
      <c r="D53" t="s">
        <v>33</v>
      </c>
      <c r="E53" t="s">
        <v>34</v>
      </c>
      <c r="F53">
        <v>19977</v>
      </c>
      <c r="G53">
        <v>440</v>
      </c>
      <c r="H53" t="s">
        <v>178</v>
      </c>
      <c r="I53" t="s">
        <v>179</v>
      </c>
      <c r="J53" t="s">
        <v>46</v>
      </c>
      <c r="K53" t="s">
        <v>47</v>
      </c>
      <c r="L53">
        <v>530</v>
      </c>
      <c r="M53" s="2">
        <v>526</v>
      </c>
      <c r="N53">
        <v>-4</v>
      </c>
      <c r="O53" t="str">
        <f>IF(flights_sample_3m[[#This Row],[DEP_DELAY]]&lt;=15,"No delay",IF(flights_sample_3m[[#This Row],[DEP_DELAY]]&lt;=60,"Short Delay","Long Delay"))</f>
        <v>No delay</v>
      </c>
      <c r="P53" t="str">
        <f>IF(flights_sample_3m[[#This Row],[DEP_DELAY]]&lt;=15,"Delayed","On Time")</f>
        <v>Delayed</v>
      </c>
      <c r="Q53">
        <v>11</v>
      </c>
      <c r="R53">
        <v>537</v>
      </c>
      <c r="S53">
        <v>832</v>
      </c>
      <c r="T53">
        <v>7</v>
      </c>
      <c r="U53">
        <v>847</v>
      </c>
      <c r="V53" s="2">
        <v>839</v>
      </c>
      <c r="W53">
        <v>-8</v>
      </c>
      <c r="X53">
        <v>0</v>
      </c>
      <c r="Y53">
        <v>0</v>
      </c>
      <c r="Z53">
        <v>0</v>
      </c>
      <c r="AA53">
        <v>137</v>
      </c>
      <c r="AB53">
        <v>133</v>
      </c>
      <c r="AC53">
        <v>115</v>
      </c>
      <c r="AD53">
        <v>909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">
      <c r="A54" s="1">
        <v>45024</v>
      </c>
      <c r="B54" s="1" t="str">
        <f>TEXT(flights_sample_3m[[#This Row],[FL_DATE]],"yyyy-mm")</f>
        <v>2023-04</v>
      </c>
      <c r="C54" t="s">
        <v>57</v>
      </c>
      <c r="D54" t="s">
        <v>58</v>
      </c>
      <c r="E54" t="s">
        <v>59</v>
      </c>
      <c r="F54">
        <v>19393</v>
      </c>
      <c r="G54">
        <v>3355</v>
      </c>
      <c r="H54" t="s">
        <v>91</v>
      </c>
      <c r="I54" t="s">
        <v>92</v>
      </c>
      <c r="J54" t="s">
        <v>180</v>
      </c>
      <c r="K54" t="s">
        <v>181</v>
      </c>
      <c r="L54">
        <v>2120</v>
      </c>
      <c r="M54" s="2">
        <v>2133</v>
      </c>
      <c r="N54">
        <v>13</v>
      </c>
      <c r="O54" t="str">
        <f>IF(flights_sample_3m[[#This Row],[DEP_DELAY]]&lt;=15,"No delay",IF(flights_sample_3m[[#This Row],[DEP_DELAY]]&lt;=60,"Short Delay","Long Delay"))</f>
        <v>No delay</v>
      </c>
      <c r="P54" t="str">
        <f>IF(flights_sample_3m[[#This Row],[DEP_DELAY]]&lt;=15,"Delayed","On Time")</f>
        <v>Delayed</v>
      </c>
      <c r="Q54">
        <v>7</v>
      </c>
      <c r="R54">
        <v>2140</v>
      </c>
      <c r="S54">
        <v>2</v>
      </c>
      <c r="T54">
        <v>3</v>
      </c>
      <c r="U54">
        <v>15</v>
      </c>
      <c r="V54" s="2">
        <v>5</v>
      </c>
      <c r="W54">
        <v>-10</v>
      </c>
      <c r="X54">
        <v>0</v>
      </c>
      <c r="Y54">
        <v>0</v>
      </c>
      <c r="Z54">
        <v>0</v>
      </c>
      <c r="AA54">
        <v>175</v>
      </c>
      <c r="AB54">
        <v>152</v>
      </c>
      <c r="AC54">
        <v>142</v>
      </c>
      <c r="AD54">
        <v>1036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">
      <c r="A55" s="1">
        <v>44359</v>
      </c>
      <c r="B55" s="1" t="str">
        <f>TEXT(flights_sample_3m[[#This Row],[FL_DATE]],"yyyy-mm")</f>
        <v>2021-06</v>
      </c>
      <c r="C55" t="s">
        <v>39</v>
      </c>
      <c r="D55" t="s">
        <v>40</v>
      </c>
      <c r="E55" t="s">
        <v>41</v>
      </c>
      <c r="F55">
        <v>19790</v>
      </c>
      <c r="G55">
        <v>1031</v>
      </c>
      <c r="H55" t="s">
        <v>170</v>
      </c>
      <c r="I55" t="s">
        <v>171</v>
      </c>
      <c r="J55" t="s">
        <v>85</v>
      </c>
      <c r="K55" t="s">
        <v>86</v>
      </c>
      <c r="L55">
        <v>1330</v>
      </c>
      <c r="M55" s="2">
        <v>1332</v>
      </c>
      <c r="N55">
        <v>2</v>
      </c>
      <c r="O55" t="str">
        <f>IF(flights_sample_3m[[#This Row],[DEP_DELAY]]&lt;=15,"No delay",IF(flights_sample_3m[[#This Row],[DEP_DELAY]]&lt;=60,"Short Delay","Long Delay"))</f>
        <v>No delay</v>
      </c>
      <c r="P55" t="str">
        <f>IF(flights_sample_3m[[#This Row],[DEP_DELAY]]&lt;=15,"Delayed","On Time")</f>
        <v>Delayed</v>
      </c>
      <c r="Q55">
        <v>10</v>
      </c>
      <c r="R55">
        <v>1342</v>
      </c>
      <c r="S55">
        <v>1522</v>
      </c>
      <c r="T55">
        <v>6</v>
      </c>
      <c r="U55">
        <v>1531</v>
      </c>
      <c r="V55" s="2">
        <v>1528</v>
      </c>
      <c r="W55">
        <v>-3</v>
      </c>
      <c r="X55">
        <v>0</v>
      </c>
      <c r="Y55">
        <v>0</v>
      </c>
      <c r="Z55">
        <v>0</v>
      </c>
      <c r="AA55">
        <v>121</v>
      </c>
      <c r="AB55">
        <v>116</v>
      </c>
      <c r="AC55">
        <v>100</v>
      </c>
      <c r="AD55">
        <v>594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">
      <c r="A56" s="1">
        <v>43571</v>
      </c>
      <c r="B56" s="1" t="str">
        <f>TEXT(flights_sample_3m[[#This Row],[FL_DATE]],"yyyy-mm")</f>
        <v>2019-04</v>
      </c>
      <c r="C56" t="s">
        <v>182</v>
      </c>
      <c r="D56" t="s">
        <v>183</v>
      </c>
      <c r="E56" t="s">
        <v>184</v>
      </c>
      <c r="F56">
        <v>20398</v>
      </c>
      <c r="G56">
        <v>3657</v>
      </c>
      <c r="H56" t="s">
        <v>116</v>
      </c>
      <c r="I56" t="s">
        <v>117</v>
      </c>
      <c r="J56" t="s">
        <v>106</v>
      </c>
      <c r="K56" t="s">
        <v>92</v>
      </c>
      <c r="L56">
        <v>1414</v>
      </c>
      <c r="M56" s="2">
        <v>1409</v>
      </c>
      <c r="N56">
        <v>-5</v>
      </c>
      <c r="O56" t="str">
        <f>IF(flights_sample_3m[[#This Row],[DEP_DELAY]]&lt;=15,"No delay",IF(flights_sample_3m[[#This Row],[DEP_DELAY]]&lt;=60,"Short Delay","Long Delay"))</f>
        <v>No delay</v>
      </c>
      <c r="P56" t="str">
        <f>IF(flights_sample_3m[[#This Row],[DEP_DELAY]]&lt;=15,"Delayed","On Time")</f>
        <v>Delayed</v>
      </c>
      <c r="Q56">
        <v>13</v>
      </c>
      <c r="R56">
        <v>1422</v>
      </c>
      <c r="S56">
        <v>1355</v>
      </c>
      <c r="T56">
        <v>15</v>
      </c>
      <c r="U56">
        <v>1420</v>
      </c>
      <c r="V56" s="2">
        <v>1410</v>
      </c>
      <c r="W56">
        <v>-10</v>
      </c>
      <c r="X56">
        <v>0</v>
      </c>
      <c r="Y56">
        <v>0</v>
      </c>
      <c r="Z56">
        <v>0</v>
      </c>
      <c r="AA56">
        <v>66</v>
      </c>
      <c r="AB56">
        <v>61</v>
      </c>
      <c r="AC56">
        <v>33</v>
      </c>
      <c r="AD56">
        <v>137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">
      <c r="A57" s="1">
        <v>44942</v>
      </c>
      <c r="B57" s="1" t="str">
        <f>TEXT(flights_sample_3m[[#This Row],[FL_DATE]],"yyyy-mm")</f>
        <v>2023-01</v>
      </c>
      <c r="C57" t="s">
        <v>148</v>
      </c>
      <c r="D57" t="s">
        <v>149</v>
      </c>
      <c r="E57" t="s">
        <v>150</v>
      </c>
      <c r="F57">
        <v>20304</v>
      </c>
      <c r="G57">
        <v>5762</v>
      </c>
      <c r="H57" t="s">
        <v>46</v>
      </c>
      <c r="I57" t="s">
        <v>47</v>
      </c>
      <c r="J57" t="s">
        <v>146</v>
      </c>
      <c r="K57" t="s">
        <v>147</v>
      </c>
      <c r="L57">
        <v>1720</v>
      </c>
      <c r="M57" s="2">
        <v>1725</v>
      </c>
      <c r="N57">
        <v>5</v>
      </c>
      <c r="O57" t="str">
        <f>IF(flights_sample_3m[[#This Row],[DEP_DELAY]]&lt;=15,"No delay",IF(flights_sample_3m[[#This Row],[DEP_DELAY]]&lt;=60,"Short Delay","Long Delay"))</f>
        <v>No delay</v>
      </c>
      <c r="P57" t="str">
        <f>IF(flights_sample_3m[[#This Row],[DEP_DELAY]]&lt;=15,"Delayed","On Time")</f>
        <v>Delayed</v>
      </c>
      <c r="Q57">
        <v>23</v>
      </c>
      <c r="R57">
        <v>1748</v>
      </c>
      <c r="S57">
        <v>1902</v>
      </c>
      <c r="T57">
        <v>7</v>
      </c>
      <c r="U57">
        <v>1907</v>
      </c>
      <c r="V57" s="2">
        <v>1909</v>
      </c>
      <c r="W57">
        <v>2</v>
      </c>
      <c r="X57">
        <v>0</v>
      </c>
      <c r="Y57">
        <v>0</v>
      </c>
      <c r="Z57">
        <v>0</v>
      </c>
      <c r="AA57">
        <v>107</v>
      </c>
      <c r="AB57">
        <v>104</v>
      </c>
      <c r="AC57">
        <v>74</v>
      </c>
      <c r="AD57">
        <v>391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">
      <c r="A58" s="1">
        <v>43472</v>
      </c>
      <c r="B58" s="1" t="str">
        <f>TEXT(flights_sample_3m[[#This Row],[FL_DATE]],"yyyy-mm")</f>
        <v>2019-01</v>
      </c>
      <c r="C58" t="s">
        <v>57</v>
      </c>
      <c r="D58" t="s">
        <v>58</v>
      </c>
      <c r="E58" t="s">
        <v>59</v>
      </c>
      <c r="F58">
        <v>19393</v>
      </c>
      <c r="G58">
        <v>397</v>
      </c>
      <c r="H58" t="s">
        <v>180</v>
      </c>
      <c r="I58" t="s">
        <v>181</v>
      </c>
      <c r="J58" t="s">
        <v>60</v>
      </c>
      <c r="K58" t="s">
        <v>61</v>
      </c>
      <c r="L58">
        <v>1350</v>
      </c>
      <c r="M58" s="2">
        <v>1401</v>
      </c>
      <c r="N58">
        <v>11</v>
      </c>
      <c r="O58" t="str">
        <f>IF(flights_sample_3m[[#This Row],[DEP_DELAY]]&lt;=15,"No delay",IF(flights_sample_3m[[#This Row],[DEP_DELAY]]&lt;=60,"Short Delay","Long Delay"))</f>
        <v>No delay</v>
      </c>
      <c r="P58" t="str">
        <f>IF(flights_sample_3m[[#This Row],[DEP_DELAY]]&lt;=15,"Delayed","On Time")</f>
        <v>Delayed</v>
      </c>
      <c r="Q58">
        <v>6</v>
      </c>
      <c r="R58">
        <v>1407</v>
      </c>
      <c r="S58">
        <v>1452</v>
      </c>
      <c r="T58">
        <v>3</v>
      </c>
      <c r="U58">
        <v>1455</v>
      </c>
      <c r="V58" s="2">
        <v>1455</v>
      </c>
      <c r="W58">
        <v>0</v>
      </c>
      <c r="X58">
        <v>0</v>
      </c>
      <c r="Y58">
        <v>0</v>
      </c>
      <c r="Z58">
        <v>0</v>
      </c>
      <c r="AA58">
        <v>65</v>
      </c>
      <c r="AB58">
        <v>54</v>
      </c>
      <c r="AC58">
        <v>45</v>
      </c>
      <c r="AD58">
        <v>248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">
      <c r="A59" s="1">
        <v>43610</v>
      </c>
      <c r="B59" s="1" t="str">
        <f>TEXT(flights_sample_3m[[#This Row],[FL_DATE]],"yyyy-mm")</f>
        <v>2019-05</v>
      </c>
      <c r="C59" t="s">
        <v>71</v>
      </c>
      <c r="D59" t="s">
        <v>72</v>
      </c>
      <c r="E59" t="s">
        <v>73</v>
      </c>
      <c r="F59">
        <v>20452</v>
      </c>
      <c r="G59">
        <v>3604</v>
      </c>
      <c r="H59" t="s">
        <v>102</v>
      </c>
      <c r="I59" t="s">
        <v>103</v>
      </c>
      <c r="J59" t="s">
        <v>37</v>
      </c>
      <c r="K59" t="s">
        <v>38</v>
      </c>
      <c r="L59">
        <v>1330</v>
      </c>
      <c r="M59" s="2">
        <v>1416</v>
      </c>
      <c r="N59">
        <v>46</v>
      </c>
      <c r="O59" t="str">
        <f>IF(flights_sample_3m[[#This Row],[DEP_DELAY]]&lt;=15,"No delay",IF(flights_sample_3m[[#This Row],[DEP_DELAY]]&lt;=60,"Short Delay","Long Delay"))</f>
        <v>Short Delay</v>
      </c>
      <c r="P59" t="str">
        <f>IF(flights_sample_3m[[#This Row],[DEP_DELAY]]&lt;=15,"Delayed","On Time")</f>
        <v>On Time</v>
      </c>
      <c r="Q59">
        <v>11</v>
      </c>
      <c r="R59">
        <v>1427</v>
      </c>
      <c r="S59">
        <v>1800</v>
      </c>
      <c r="T59">
        <v>9</v>
      </c>
      <c r="U59">
        <v>1740</v>
      </c>
      <c r="V59" s="2">
        <v>1809</v>
      </c>
      <c r="W59">
        <v>29</v>
      </c>
      <c r="X59">
        <v>0</v>
      </c>
      <c r="Y59">
        <v>0</v>
      </c>
      <c r="Z59">
        <v>0</v>
      </c>
      <c r="AA59">
        <v>190</v>
      </c>
      <c r="AB59">
        <v>173</v>
      </c>
      <c r="AC59">
        <v>153</v>
      </c>
      <c r="AD59">
        <v>1167</v>
      </c>
      <c r="AE59">
        <v>0</v>
      </c>
      <c r="AF59">
        <v>0</v>
      </c>
      <c r="AG59">
        <v>13</v>
      </c>
      <c r="AH59">
        <v>0</v>
      </c>
      <c r="AI59">
        <v>16</v>
      </c>
    </row>
    <row r="60" spans="1:35" x14ac:dyDescent="0.3">
      <c r="A60" s="1">
        <v>44520</v>
      </c>
      <c r="B60" s="1" t="str">
        <f>TEXT(flights_sample_3m[[#This Row],[FL_DATE]],"yyyy-mm")</f>
        <v>2021-11</v>
      </c>
      <c r="C60" t="s">
        <v>80</v>
      </c>
      <c r="D60" t="s">
        <v>81</v>
      </c>
      <c r="E60" t="s">
        <v>82</v>
      </c>
      <c r="F60">
        <v>19930</v>
      </c>
      <c r="G60">
        <v>444</v>
      </c>
      <c r="H60" t="s">
        <v>44</v>
      </c>
      <c r="I60" t="s">
        <v>45</v>
      </c>
      <c r="J60" t="s">
        <v>78</v>
      </c>
      <c r="K60" t="s">
        <v>79</v>
      </c>
      <c r="L60">
        <v>930</v>
      </c>
      <c r="M60" s="2">
        <v>931</v>
      </c>
      <c r="N60">
        <v>1</v>
      </c>
      <c r="O60" t="str">
        <f>IF(flights_sample_3m[[#This Row],[DEP_DELAY]]&lt;=15,"No delay",IF(flights_sample_3m[[#This Row],[DEP_DELAY]]&lt;=60,"Short Delay","Long Delay"))</f>
        <v>No delay</v>
      </c>
      <c r="P60" t="str">
        <f>IF(flights_sample_3m[[#This Row],[DEP_DELAY]]&lt;=15,"Delayed","On Time")</f>
        <v>Delayed</v>
      </c>
      <c r="Q60">
        <v>11</v>
      </c>
      <c r="R60">
        <v>942</v>
      </c>
      <c r="S60">
        <v>1147</v>
      </c>
      <c r="T60">
        <v>9</v>
      </c>
      <c r="U60">
        <v>1220</v>
      </c>
      <c r="V60" s="2">
        <v>1156</v>
      </c>
      <c r="W60">
        <v>-24</v>
      </c>
      <c r="X60">
        <v>0</v>
      </c>
      <c r="Y60">
        <v>0</v>
      </c>
      <c r="Z60">
        <v>0</v>
      </c>
      <c r="AA60">
        <v>170</v>
      </c>
      <c r="AB60">
        <v>145</v>
      </c>
      <c r="AC60">
        <v>125</v>
      </c>
      <c r="AD60">
        <v>954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">
      <c r="A61" s="1">
        <v>44246</v>
      </c>
      <c r="B61" s="1" t="str">
        <f>TEXT(flights_sample_3m[[#This Row],[FL_DATE]],"yyyy-mm")</f>
        <v>2021-02</v>
      </c>
      <c r="C61" t="s">
        <v>50</v>
      </c>
      <c r="D61" t="s">
        <v>51</v>
      </c>
      <c r="E61" t="s">
        <v>52</v>
      </c>
      <c r="F61">
        <v>20416</v>
      </c>
      <c r="G61">
        <v>1673</v>
      </c>
      <c r="H61" t="s">
        <v>185</v>
      </c>
      <c r="I61" t="s">
        <v>186</v>
      </c>
      <c r="J61" t="s">
        <v>53</v>
      </c>
      <c r="K61" t="s">
        <v>54</v>
      </c>
      <c r="L61">
        <v>745</v>
      </c>
      <c r="M61" s="2">
        <v>740</v>
      </c>
      <c r="N61">
        <v>-5</v>
      </c>
      <c r="O61" t="str">
        <f>IF(flights_sample_3m[[#This Row],[DEP_DELAY]]&lt;=15,"No delay",IF(flights_sample_3m[[#This Row],[DEP_DELAY]]&lt;=60,"Short Delay","Long Delay"))</f>
        <v>No delay</v>
      </c>
      <c r="P61" t="str">
        <f>IF(flights_sample_3m[[#This Row],[DEP_DELAY]]&lt;=15,"Delayed","On Time")</f>
        <v>Delayed</v>
      </c>
      <c r="Q61">
        <v>19</v>
      </c>
      <c r="R61">
        <v>759</v>
      </c>
      <c r="S61">
        <v>1001</v>
      </c>
      <c r="T61">
        <v>10</v>
      </c>
      <c r="U61">
        <v>1005</v>
      </c>
      <c r="V61" s="2">
        <v>1011</v>
      </c>
      <c r="W61">
        <v>6</v>
      </c>
      <c r="X61">
        <v>0</v>
      </c>
      <c r="Y61">
        <v>0</v>
      </c>
      <c r="Z61">
        <v>0</v>
      </c>
      <c r="AA61">
        <v>140</v>
      </c>
      <c r="AB61">
        <v>151</v>
      </c>
      <c r="AC61">
        <v>122</v>
      </c>
      <c r="AD61">
        <v>802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">
      <c r="A62" s="1">
        <v>44050</v>
      </c>
      <c r="B62" s="1" t="str">
        <f>TEXT(flights_sample_3m[[#This Row],[FL_DATE]],"yyyy-mm")</f>
        <v>2020-08</v>
      </c>
      <c r="C62" t="s">
        <v>120</v>
      </c>
      <c r="D62" t="s">
        <v>121</v>
      </c>
      <c r="E62" t="s">
        <v>122</v>
      </c>
      <c r="F62">
        <v>20397</v>
      </c>
      <c r="G62">
        <v>5437</v>
      </c>
      <c r="H62" t="s">
        <v>104</v>
      </c>
      <c r="I62" t="s">
        <v>105</v>
      </c>
      <c r="J62" t="s">
        <v>123</v>
      </c>
      <c r="K62" t="s">
        <v>124</v>
      </c>
      <c r="L62">
        <v>622</v>
      </c>
      <c r="M62" s="2">
        <v>619</v>
      </c>
      <c r="N62">
        <v>-3</v>
      </c>
      <c r="O62" t="str">
        <f>IF(flights_sample_3m[[#This Row],[DEP_DELAY]]&lt;=15,"No delay",IF(flights_sample_3m[[#This Row],[DEP_DELAY]]&lt;=60,"Short Delay","Long Delay"))</f>
        <v>No delay</v>
      </c>
      <c r="P62" t="str">
        <f>IF(flights_sample_3m[[#This Row],[DEP_DELAY]]&lt;=15,"Delayed","On Time")</f>
        <v>Delayed</v>
      </c>
      <c r="Q62">
        <v>19</v>
      </c>
      <c r="R62">
        <v>638</v>
      </c>
      <c r="S62">
        <v>757</v>
      </c>
      <c r="T62">
        <v>14</v>
      </c>
      <c r="U62">
        <v>813</v>
      </c>
      <c r="V62" s="2">
        <v>811</v>
      </c>
      <c r="W62">
        <v>-2</v>
      </c>
      <c r="X62">
        <v>0</v>
      </c>
      <c r="Y62">
        <v>0</v>
      </c>
      <c r="Z62">
        <v>0</v>
      </c>
      <c r="AA62">
        <v>111</v>
      </c>
      <c r="AB62">
        <v>112</v>
      </c>
      <c r="AC62">
        <v>79</v>
      </c>
      <c r="AD62">
        <v>547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">
      <c r="A63" s="1">
        <v>43837</v>
      </c>
      <c r="B63" s="1" t="str">
        <f>TEXT(flights_sample_3m[[#This Row],[FL_DATE]],"yyyy-mm")</f>
        <v>2020-01</v>
      </c>
      <c r="C63" t="s">
        <v>80</v>
      </c>
      <c r="D63" t="s">
        <v>81</v>
      </c>
      <c r="E63" t="s">
        <v>82</v>
      </c>
      <c r="F63">
        <v>19930</v>
      </c>
      <c r="G63">
        <v>779</v>
      </c>
      <c r="H63" t="s">
        <v>187</v>
      </c>
      <c r="I63" t="s">
        <v>188</v>
      </c>
      <c r="J63" t="s">
        <v>44</v>
      </c>
      <c r="K63" t="s">
        <v>45</v>
      </c>
      <c r="L63">
        <v>1940</v>
      </c>
      <c r="M63" s="2">
        <v>1924</v>
      </c>
      <c r="N63">
        <v>-16</v>
      </c>
      <c r="O63" t="str">
        <f>IF(flights_sample_3m[[#This Row],[DEP_DELAY]]&lt;=15,"No delay",IF(flights_sample_3m[[#This Row],[DEP_DELAY]]&lt;=60,"Short Delay","Long Delay"))</f>
        <v>No delay</v>
      </c>
      <c r="P63" t="str">
        <f>IF(flights_sample_3m[[#This Row],[DEP_DELAY]]&lt;=15,"Delayed","On Time")</f>
        <v>Delayed</v>
      </c>
      <c r="Q63">
        <v>12</v>
      </c>
      <c r="R63">
        <v>1936</v>
      </c>
      <c r="S63">
        <v>2201</v>
      </c>
      <c r="T63">
        <v>6</v>
      </c>
      <c r="U63">
        <v>2215</v>
      </c>
      <c r="V63" s="2">
        <v>2207</v>
      </c>
      <c r="W63">
        <v>-8</v>
      </c>
      <c r="X63">
        <v>0</v>
      </c>
      <c r="Y63">
        <v>0</v>
      </c>
      <c r="Z63">
        <v>0</v>
      </c>
      <c r="AA63">
        <v>275</v>
      </c>
      <c r="AB63">
        <v>283</v>
      </c>
      <c r="AC63">
        <v>265</v>
      </c>
      <c r="AD63">
        <v>1709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">
      <c r="A64" s="1">
        <v>43523</v>
      </c>
      <c r="B64" s="1" t="str">
        <f>TEXT(flights_sample_3m[[#This Row],[FL_DATE]],"yyyy-mm")</f>
        <v>2019-02</v>
      </c>
      <c r="C64" t="s">
        <v>57</v>
      </c>
      <c r="D64" t="s">
        <v>58</v>
      </c>
      <c r="E64" t="s">
        <v>59</v>
      </c>
      <c r="F64">
        <v>19393</v>
      </c>
      <c r="G64">
        <v>760</v>
      </c>
      <c r="H64" t="s">
        <v>91</v>
      </c>
      <c r="I64" t="s">
        <v>92</v>
      </c>
      <c r="J64" t="s">
        <v>163</v>
      </c>
      <c r="K64" t="s">
        <v>164</v>
      </c>
      <c r="L64">
        <v>2120</v>
      </c>
      <c r="M64" s="2">
        <v>2203</v>
      </c>
      <c r="N64">
        <v>43</v>
      </c>
      <c r="O64" t="str">
        <f>IF(flights_sample_3m[[#This Row],[DEP_DELAY]]&lt;=15,"No delay",IF(flights_sample_3m[[#This Row],[DEP_DELAY]]&lt;=60,"Short Delay","Long Delay"))</f>
        <v>Short Delay</v>
      </c>
      <c r="P64" t="str">
        <f>IF(flights_sample_3m[[#This Row],[DEP_DELAY]]&lt;=15,"Delayed","On Time")</f>
        <v>On Time</v>
      </c>
      <c r="Q64">
        <v>15</v>
      </c>
      <c r="R64">
        <v>2218</v>
      </c>
      <c r="S64">
        <v>52</v>
      </c>
      <c r="T64">
        <v>4</v>
      </c>
      <c r="U64">
        <v>25</v>
      </c>
      <c r="V64" s="2">
        <v>56</v>
      </c>
      <c r="W64">
        <v>31</v>
      </c>
      <c r="X64">
        <v>0</v>
      </c>
      <c r="Y64">
        <v>0</v>
      </c>
      <c r="Z64">
        <v>0</v>
      </c>
      <c r="AA64">
        <v>125</v>
      </c>
      <c r="AB64">
        <v>113</v>
      </c>
      <c r="AC64">
        <v>94</v>
      </c>
      <c r="AD64">
        <v>838</v>
      </c>
      <c r="AE64">
        <v>31</v>
      </c>
      <c r="AF64">
        <v>0</v>
      </c>
      <c r="AG64">
        <v>0</v>
      </c>
      <c r="AH64">
        <v>0</v>
      </c>
      <c r="AI64">
        <v>0</v>
      </c>
    </row>
    <row r="65" spans="1:35" x14ac:dyDescent="0.3">
      <c r="A65" s="1">
        <v>43796</v>
      </c>
      <c r="B65" s="1" t="str">
        <f>TEXT(flights_sample_3m[[#This Row],[FL_DATE]],"yyyy-mm")</f>
        <v>2019-11</v>
      </c>
      <c r="C65" t="s">
        <v>189</v>
      </c>
      <c r="D65" t="s">
        <v>190</v>
      </c>
      <c r="E65" t="s">
        <v>191</v>
      </c>
      <c r="F65">
        <v>20436</v>
      </c>
      <c r="G65">
        <v>121</v>
      </c>
      <c r="H65" t="s">
        <v>192</v>
      </c>
      <c r="I65" t="s">
        <v>193</v>
      </c>
      <c r="J65" t="s">
        <v>159</v>
      </c>
      <c r="K65" t="s">
        <v>160</v>
      </c>
      <c r="L65">
        <v>1857</v>
      </c>
      <c r="M65" s="2">
        <v>1856</v>
      </c>
      <c r="N65">
        <v>-1</v>
      </c>
      <c r="O65" t="str">
        <f>IF(flights_sample_3m[[#This Row],[DEP_DELAY]]&lt;=15,"No delay",IF(flights_sample_3m[[#This Row],[DEP_DELAY]]&lt;=60,"Short Delay","Long Delay"))</f>
        <v>No delay</v>
      </c>
      <c r="P65" t="str">
        <f>IF(flights_sample_3m[[#This Row],[DEP_DELAY]]&lt;=15,"Delayed","On Time")</f>
        <v>Delayed</v>
      </c>
      <c r="Q65">
        <v>14</v>
      </c>
      <c r="R65">
        <v>1910</v>
      </c>
      <c r="S65">
        <v>2049</v>
      </c>
      <c r="T65">
        <v>8</v>
      </c>
      <c r="U65">
        <v>2110</v>
      </c>
      <c r="V65" s="2">
        <v>2057</v>
      </c>
      <c r="W65">
        <v>-13</v>
      </c>
      <c r="X65">
        <v>0</v>
      </c>
      <c r="Y65">
        <v>0</v>
      </c>
      <c r="Z65">
        <v>0</v>
      </c>
      <c r="AA65">
        <v>193</v>
      </c>
      <c r="AB65">
        <v>181</v>
      </c>
      <c r="AC65">
        <v>159</v>
      </c>
      <c r="AD65">
        <v>1237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">
      <c r="A66" s="1">
        <v>43507</v>
      </c>
      <c r="B66" s="1" t="str">
        <f>TEXT(flights_sample_3m[[#This Row],[FL_DATE]],"yyyy-mm")</f>
        <v>2019-02</v>
      </c>
      <c r="C66" t="s">
        <v>57</v>
      </c>
      <c r="D66" t="s">
        <v>58</v>
      </c>
      <c r="E66" t="s">
        <v>59</v>
      </c>
      <c r="F66">
        <v>19393</v>
      </c>
      <c r="G66">
        <v>1721</v>
      </c>
      <c r="H66" t="s">
        <v>48</v>
      </c>
      <c r="I66" t="s">
        <v>49</v>
      </c>
      <c r="J66" t="s">
        <v>194</v>
      </c>
      <c r="K66" t="s">
        <v>195</v>
      </c>
      <c r="L66">
        <v>1115</v>
      </c>
      <c r="M66" s="2">
        <v>1226</v>
      </c>
      <c r="N66">
        <v>71</v>
      </c>
      <c r="O66" t="str">
        <f>IF(flights_sample_3m[[#This Row],[DEP_DELAY]]&lt;=15,"No delay",IF(flights_sample_3m[[#This Row],[DEP_DELAY]]&lt;=60,"Short Delay","Long Delay"))</f>
        <v>Long Delay</v>
      </c>
      <c r="P66" t="str">
        <f>IF(flights_sample_3m[[#This Row],[DEP_DELAY]]&lt;=15,"Delayed","On Time")</f>
        <v>On Time</v>
      </c>
      <c r="Q66">
        <v>19</v>
      </c>
      <c r="R66">
        <v>1245</v>
      </c>
      <c r="S66">
        <v>1348</v>
      </c>
      <c r="T66">
        <v>16</v>
      </c>
      <c r="U66">
        <v>1250</v>
      </c>
      <c r="V66" s="2">
        <v>1404</v>
      </c>
      <c r="W66">
        <v>74</v>
      </c>
      <c r="X66">
        <v>0</v>
      </c>
      <c r="Y66">
        <v>0</v>
      </c>
      <c r="Z66">
        <v>0</v>
      </c>
      <c r="AA66">
        <v>95</v>
      </c>
      <c r="AB66">
        <v>98</v>
      </c>
      <c r="AC66">
        <v>63</v>
      </c>
      <c r="AD66">
        <v>447</v>
      </c>
      <c r="AE66">
        <v>71</v>
      </c>
      <c r="AF66">
        <v>0</v>
      </c>
      <c r="AG66">
        <v>3</v>
      </c>
      <c r="AH66">
        <v>0</v>
      </c>
      <c r="AI66">
        <v>0</v>
      </c>
    </row>
    <row r="67" spans="1:35" x14ac:dyDescent="0.3">
      <c r="A67" s="1">
        <v>43887</v>
      </c>
      <c r="B67" s="1" t="str">
        <f>TEXT(flights_sample_3m[[#This Row],[FL_DATE]],"yyyy-mm")</f>
        <v>2020-02</v>
      </c>
      <c r="C67" t="s">
        <v>107</v>
      </c>
      <c r="D67" t="s">
        <v>108</v>
      </c>
      <c r="E67" t="s">
        <v>109</v>
      </c>
      <c r="F67">
        <v>20409</v>
      </c>
      <c r="G67">
        <v>965</v>
      </c>
      <c r="H67" t="s">
        <v>69</v>
      </c>
      <c r="I67" t="s">
        <v>70</v>
      </c>
      <c r="J67" t="s">
        <v>196</v>
      </c>
      <c r="K67" t="s">
        <v>197</v>
      </c>
      <c r="L67">
        <v>1544</v>
      </c>
      <c r="M67" s="2">
        <v>1538</v>
      </c>
      <c r="N67">
        <v>-6</v>
      </c>
      <c r="O67" t="str">
        <f>IF(flights_sample_3m[[#This Row],[DEP_DELAY]]&lt;=15,"No delay",IF(flights_sample_3m[[#This Row],[DEP_DELAY]]&lt;=60,"Short Delay","Long Delay"))</f>
        <v>No delay</v>
      </c>
      <c r="P67" t="str">
        <f>IF(flights_sample_3m[[#This Row],[DEP_DELAY]]&lt;=15,"Delayed","On Time")</f>
        <v>Delayed</v>
      </c>
      <c r="Q67">
        <v>24</v>
      </c>
      <c r="R67">
        <v>1602</v>
      </c>
      <c r="S67">
        <v>1942</v>
      </c>
      <c r="T67">
        <v>7</v>
      </c>
      <c r="U67">
        <v>1920</v>
      </c>
      <c r="V67" s="2">
        <v>1949</v>
      </c>
      <c r="W67">
        <v>29</v>
      </c>
      <c r="X67">
        <v>0</v>
      </c>
      <c r="Y67">
        <v>0</v>
      </c>
      <c r="Z67">
        <v>0</v>
      </c>
      <c r="AA67">
        <v>216</v>
      </c>
      <c r="AB67">
        <v>251</v>
      </c>
      <c r="AC67">
        <v>220</v>
      </c>
      <c r="AD67">
        <v>1249</v>
      </c>
      <c r="AE67">
        <v>0</v>
      </c>
      <c r="AF67">
        <v>0</v>
      </c>
      <c r="AG67">
        <v>29</v>
      </c>
      <c r="AH67">
        <v>0</v>
      </c>
      <c r="AI67">
        <v>0</v>
      </c>
    </row>
    <row r="68" spans="1:35" x14ac:dyDescent="0.3">
      <c r="A68" s="1">
        <v>44756</v>
      </c>
      <c r="B68" s="1" t="str">
        <f>TEXT(flights_sample_3m[[#This Row],[FL_DATE]],"yyyy-mm")</f>
        <v>2022-07</v>
      </c>
      <c r="C68" t="s">
        <v>71</v>
      </c>
      <c r="D68" t="s">
        <v>72</v>
      </c>
      <c r="E68" t="s">
        <v>73</v>
      </c>
      <c r="F68">
        <v>20452</v>
      </c>
      <c r="G68">
        <v>4649</v>
      </c>
      <c r="H68" t="s">
        <v>67</v>
      </c>
      <c r="I68" t="s">
        <v>68</v>
      </c>
      <c r="J68" t="s">
        <v>112</v>
      </c>
      <c r="K68" t="s">
        <v>113</v>
      </c>
      <c r="L68">
        <v>1346</v>
      </c>
      <c r="M68" s="2">
        <v>1343</v>
      </c>
      <c r="N68">
        <v>-3</v>
      </c>
      <c r="O68" t="str">
        <f>IF(flights_sample_3m[[#This Row],[DEP_DELAY]]&lt;=15,"No delay",IF(flights_sample_3m[[#This Row],[DEP_DELAY]]&lt;=60,"Short Delay","Long Delay"))</f>
        <v>No delay</v>
      </c>
      <c r="P68" t="str">
        <f>IF(flights_sample_3m[[#This Row],[DEP_DELAY]]&lt;=15,"Delayed","On Time")</f>
        <v>Delayed</v>
      </c>
      <c r="Q68">
        <v>20</v>
      </c>
      <c r="R68">
        <v>1403</v>
      </c>
      <c r="S68">
        <v>1523</v>
      </c>
      <c r="T68">
        <v>5</v>
      </c>
      <c r="U68">
        <v>1529</v>
      </c>
      <c r="V68" s="2">
        <v>1528</v>
      </c>
      <c r="W68">
        <v>-1</v>
      </c>
      <c r="X68">
        <v>0</v>
      </c>
      <c r="Y68">
        <v>0</v>
      </c>
      <c r="Z68">
        <v>0</v>
      </c>
      <c r="AA68">
        <v>103</v>
      </c>
      <c r="AB68">
        <v>105</v>
      </c>
      <c r="AC68">
        <v>80</v>
      </c>
      <c r="AD68">
        <v>444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">
      <c r="A69" s="1">
        <v>43681</v>
      </c>
      <c r="B69" s="1" t="str">
        <f>TEXT(flights_sample_3m[[#This Row],[FL_DATE]],"yyyy-mm")</f>
        <v>2019-08</v>
      </c>
      <c r="C69" t="s">
        <v>198</v>
      </c>
      <c r="D69" t="s">
        <v>199</v>
      </c>
      <c r="E69" t="s">
        <v>200</v>
      </c>
      <c r="F69">
        <v>20378</v>
      </c>
      <c r="G69">
        <v>5754</v>
      </c>
      <c r="H69" t="s">
        <v>201</v>
      </c>
      <c r="I69" t="s">
        <v>202</v>
      </c>
      <c r="J69" t="s">
        <v>203</v>
      </c>
      <c r="K69" t="s">
        <v>204</v>
      </c>
      <c r="L69">
        <v>1231</v>
      </c>
      <c r="M69" s="2">
        <v>1226</v>
      </c>
      <c r="N69">
        <v>-5</v>
      </c>
      <c r="O69" t="str">
        <f>IF(flights_sample_3m[[#This Row],[DEP_DELAY]]&lt;=15,"No delay",IF(flights_sample_3m[[#This Row],[DEP_DELAY]]&lt;=60,"Short Delay","Long Delay"))</f>
        <v>No delay</v>
      </c>
      <c r="P69" t="str">
        <f>IF(flights_sample_3m[[#This Row],[DEP_DELAY]]&lt;=15,"Delayed","On Time")</f>
        <v>Delayed</v>
      </c>
      <c r="Q69">
        <v>22</v>
      </c>
      <c r="R69">
        <v>1248</v>
      </c>
      <c r="S69">
        <v>1439</v>
      </c>
      <c r="T69">
        <v>2</v>
      </c>
      <c r="U69">
        <v>1448</v>
      </c>
      <c r="V69" s="2">
        <v>1441</v>
      </c>
      <c r="W69">
        <v>-7</v>
      </c>
      <c r="X69">
        <v>0</v>
      </c>
      <c r="Y69">
        <v>0</v>
      </c>
      <c r="Z69">
        <v>0</v>
      </c>
      <c r="AA69">
        <v>77</v>
      </c>
      <c r="AB69">
        <v>75</v>
      </c>
      <c r="AC69">
        <v>51</v>
      </c>
      <c r="AD69">
        <v>347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">
      <c r="A70" s="1">
        <v>43529</v>
      </c>
      <c r="B70" s="1" t="str">
        <f>TEXT(flights_sample_3m[[#This Row],[FL_DATE]],"yyyy-mm")</f>
        <v>2019-03</v>
      </c>
      <c r="C70" t="s">
        <v>64</v>
      </c>
      <c r="D70" t="s">
        <v>65</v>
      </c>
      <c r="E70" t="s">
        <v>66</v>
      </c>
      <c r="F70">
        <v>19805</v>
      </c>
      <c r="G70">
        <v>1168</v>
      </c>
      <c r="H70" t="s">
        <v>106</v>
      </c>
      <c r="I70" t="s">
        <v>92</v>
      </c>
      <c r="J70" t="s">
        <v>194</v>
      </c>
      <c r="K70" t="s">
        <v>195</v>
      </c>
      <c r="L70">
        <v>1320</v>
      </c>
      <c r="M70" s="2">
        <v>1315</v>
      </c>
      <c r="N70">
        <v>-5</v>
      </c>
      <c r="O70" t="str">
        <f>IF(flights_sample_3m[[#This Row],[DEP_DELAY]]&lt;=15,"No delay",IF(flights_sample_3m[[#This Row],[DEP_DELAY]]&lt;=60,"Short Delay","Long Delay"))</f>
        <v>No delay</v>
      </c>
      <c r="P70" t="str">
        <f>IF(flights_sample_3m[[#This Row],[DEP_DELAY]]&lt;=15,"Delayed","On Time")</f>
        <v>Delayed</v>
      </c>
      <c r="Q70">
        <v>12</v>
      </c>
      <c r="R70">
        <v>1327</v>
      </c>
      <c r="S70">
        <v>1533</v>
      </c>
      <c r="T70">
        <v>5</v>
      </c>
      <c r="U70">
        <v>1545</v>
      </c>
      <c r="V70" s="2">
        <v>1538</v>
      </c>
      <c r="W70">
        <v>-7</v>
      </c>
      <c r="X70">
        <v>0</v>
      </c>
      <c r="Y70">
        <v>0</v>
      </c>
      <c r="Z70">
        <v>0</v>
      </c>
      <c r="AA70">
        <v>265</v>
      </c>
      <c r="AB70">
        <v>263</v>
      </c>
      <c r="AC70">
        <v>246</v>
      </c>
      <c r="AD70">
        <v>1723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">
      <c r="A71" s="1">
        <v>45022</v>
      </c>
      <c r="B71" s="1" t="str">
        <f>TEXT(flights_sample_3m[[#This Row],[FL_DATE]],"yyyy-mm")</f>
        <v>2023-04</v>
      </c>
      <c r="C71" t="s">
        <v>107</v>
      </c>
      <c r="D71" t="s">
        <v>108</v>
      </c>
      <c r="E71" t="s">
        <v>109</v>
      </c>
      <c r="F71">
        <v>20409</v>
      </c>
      <c r="G71">
        <v>1248</v>
      </c>
      <c r="H71" t="s">
        <v>159</v>
      </c>
      <c r="I71" t="s">
        <v>160</v>
      </c>
      <c r="J71" t="s">
        <v>177</v>
      </c>
      <c r="K71" t="s">
        <v>111</v>
      </c>
      <c r="L71">
        <v>1016</v>
      </c>
      <c r="M71" s="2">
        <v>1007</v>
      </c>
      <c r="N71">
        <v>-9</v>
      </c>
      <c r="O71" t="str">
        <f>IF(flights_sample_3m[[#This Row],[DEP_DELAY]]&lt;=15,"No delay",IF(flights_sample_3m[[#This Row],[DEP_DELAY]]&lt;=60,"Short Delay","Long Delay"))</f>
        <v>No delay</v>
      </c>
      <c r="P71" t="str">
        <f>IF(flights_sample_3m[[#This Row],[DEP_DELAY]]&lt;=15,"Delayed","On Time")</f>
        <v>Delayed</v>
      </c>
      <c r="Q71">
        <v>48</v>
      </c>
      <c r="R71">
        <v>1055</v>
      </c>
      <c r="S71">
        <v>1309</v>
      </c>
      <c r="T71">
        <v>9</v>
      </c>
      <c r="U71">
        <v>1304</v>
      </c>
      <c r="V71" s="2">
        <v>1318</v>
      </c>
      <c r="W71">
        <v>14</v>
      </c>
      <c r="X71">
        <v>0</v>
      </c>
      <c r="Y71">
        <v>0</v>
      </c>
      <c r="Z71">
        <v>0</v>
      </c>
      <c r="AA71">
        <v>168</v>
      </c>
      <c r="AB71">
        <v>191</v>
      </c>
      <c r="AC71">
        <v>134</v>
      </c>
      <c r="AD71">
        <v>1010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">
      <c r="A72" s="1">
        <v>44015</v>
      </c>
      <c r="B72" s="1" t="str">
        <f>TEXT(flights_sample_3m[[#This Row],[FL_DATE]],"yyyy-mm")</f>
        <v>2020-07</v>
      </c>
      <c r="C72" t="s">
        <v>39</v>
      </c>
      <c r="D72" t="s">
        <v>40</v>
      </c>
      <c r="E72" t="s">
        <v>41</v>
      </c>
      <c r="F72">
        <v>19790</v>
      </c>
      <c r="G72">
        <v>1710</v>
      </c>
      <c r="H72" t="s">
        <v>146</v>
      </c>
      <c r="I72" t="s">
        <v>147</v>
      </c>
      <c r="J72" t="s">
        <v>42</v>
      </c>
      <c r="K72" t="s">
        <v>43</v>
      </c>
      <c r="L72">
        <v>1349</v>
      </c>
      <c r="M72" s="2">
        <v>1346</v>
      </c>
      <c r="N72">
        <v>-3</v>
      </c>
      <c r="O72" t="str">
        <f>IF(flights_sample_3m[[#This Row],[DEP_DELAY]]&lt;=15,"No delay",IF(flights_sample_3m[[#This Row],[DEP_DELAY]]&lt;=60,"Short Delay","Long Delay"))</f>
        <v>No delay</v>
      </c>
      <c r="P72" t="str">
        <f>IF(flights_sample_3m[[#This Row],[DEP_DELAY]]&lt;=15,"Delayed","On Time")</f>
        <v>Delayed</v>
      </c>
      <c r="Q72">
        <v>21</v>
      </c>
      <c r="R72">
        <v>1407</v>
      </c>
      <c r="S72">
        <v>1707</v>
      </c>
      <c r="T72">
        <v>4</v>
      </c>
      <c r="U72">
        <v>1710</v>
      </c>
      <c r="V72" s="2">
        <v>1711</v>
      </c>
      <c r="W72">
        <v>1</v>
      </c>
      <c r="X72">
        <v>0</v>
      </c>
      <c r="Y72">
        <v>0</v>
      </c>
      <c r="Z72">
        <v>0</v>
      </c>
      <c r="AA72">
        <v>141</v>
      </c>
      <c r="AB72">
        <v>145</v>
      </c>
      <c r="AC72">
        <v>120</v>
      </c>
      <c r="AD72">
        <v>991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">
      <c r="A73" s="1">
        <v>43598</v>
      </c>
      <c r="B73" s="1" t="str">
        <f>TEXT(flights_sample_3m[[#This Row],[FL_DATE]],"yyyy-mm")</f>
        <v>2019-05</v>
      </c>
      <c r="C73" t="s">
        <v>39</v>
      </c>
      <c r="D73" t="s">
        <v>40</v>
      </c>
      <c r="E73" t="s">
        <v>41</v>
      </c>
      <c r="F73">
        <v>19790</v>
      </c>
      <c r="G73">
        <v>1232</v>
      </c>
      <c r="H73" t="s">
        <v>67</v>
      </c>
      <c r="I73" t="s">
        <v>68</v>
      </c>
      <c r="J73" t="s">
        <v>110</v>
      </c>
      <c r="K73" t="s">
        <v>111</v>
      </c>
      <c r="L73">
        <v>605</v>
      </c>
      <c r="M73" s="2">
        <v>600</v>
      </c>
      <c r="N73">
        <v>-5</v>
      </c>
      <c r="O73" t="str">
        <f>IF(flights_sample_3m[[#This Row],[DEP_DELAY]]&lt;=15,"No delay",IF(flights_sample_3m[[#This Row],[DEP_DELAY]]&lt;=60,"Short Delay","Long Delay"))</f>
        <v>No delay</v>
      </c>
      <c r="P73" t="str">
        <f>IF(flights_sample_3m[[#This Row],[DEP_DELAY]]&lt;=15,"Delayed","On Time")</f>
        <v>Delayed</v>
      </c>
      <c r="Q73">
        <v>11</v>
      </c>
      <c r="R73">
        <v>611</v>
      </c>
      <c r="S73">
        <v>657</v>
      </c>
      <c r="T73">
        <v>19</v>
      </c>
      <c r="U73">
        <v>720</v>
      </c>
      <c r="V73" s="2">
        <v>716</v>
      </c>
      <c r="W73">
        <v>-4</v>
      </c>
      <c r="X73">
        <v>0</v>
      </c>
      <c r="Y73">
        <v>0</v>
      </c>
      <c r="Z73">
        <v>0</v>
      </c>
      <c r="AA73">
        <v>75</v>
      </c>
      <c r="AB73">
        <v>76</v>
      </c>
      <c r="AC73">
        <v>46</v>
      </c>
      <c r="AD73">
        <v>213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">
      <c r="A74" s="1">
        <v>43559</v>
      </c>
      <c r="B74" s="1" t="str">
        <f>TEXT(flights_sample_3m[[#This Row],[FL_DATE]],"yyyy-mm")</f>
        <v>2019-04</v>
      </c>
      <c r="C74" t="s">
        <v>71</v>
      </c>
      <c r="D74" t="s">
        <v>72</v>
      </c>
      <c r="E74" t="s">
        <v>73</v>
      </c>
      <c r="F74">
        <v>20452</v>
      </c>
      <c r="G74">
        <v>4420</v>
      </c>
      <c r="H74" t="s">
        <v>185</v>
      </c>
      <c r="I74" t="s">
        <v>186</v>
      </c>
      <c r="J74" t="s">
        <v>205</v>
      </c>
      <c r="K74" t="s">
        <v>206</v>
      </c>
      <c r="L74">
        <v>559</v>
      </c>
      <c r="M74" s="2">
        <v>557</v>
      </c>
      <c r="N74">
        <v>-2</v>
      </c>
      <c r="O74" t="str">
        <f>IF(flights_sample_3m[[#This Row],[DEP_DELAY]]&lt;=15,"No delay",IF(flights_sample_3m[[#This Row],[DEP_DELAY]]&lt;=60,"Short Delay","Long Delay"))</f>
        <v>No delay</v>
      </c>
      <c r="P74" t="str">
        <f>IF(flights_sample_3m[[#This Row],[DEP_DELAY]]&lt;=15,"Delayed","On Time")</f>
        <v>Delayed</v>
      </c>
      <c r="Q74">
        <v>14</v>
      </c>
      <c r="R74">
        <v>611</v>
      </c>
      <c r="S74">
        <v>722</v>
      </c>
      <c r="T74">
        <v>5</v>
      </c>
      <c r="U74">
        <v>735</v>
      </c>
      <c r="V74" s="2">
        <v>727</v>
      </c>
      <c r="W74">
        <v>-8</v>
      </c>
      <c r="X74">
        <v>0</v>
      </c>
      <c r="Y74">
        <v>0</v>
      </c>
      <c r="Z74">
        <v>0</v>
      </c>
      <c r="AA74">
        <v>96</v>
      </c>
      <c r="AB74">
        <v>90</v>
      </c>
      <c r="AC74">
        <v>71</v>
      </c>
      <c r="AD74">
        <v>406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">
      <c r="A75" s="1">
        <v>44288</v>
      </c>
      <c r="B75" s="1" t="str">
        <f>TEXT(flights_sample_3m[[#This Row],[FL_DATE]],"yyyy-mm")</f>
        <v>2021-04</v>
      </c>
      <c r="C75" t="s">
        <v>189</v>
      </c>
      <c r="D75" t="s">
        <v>190</v>
      </c>
      <c r="E75" t="s">
        <v>191</v>
      </c>
      <c r="F75">
        <v>20436</v>
      </c>
      <c r="G75">
        <v>607</v>
      </c>
      <c r="H75" t="s">
        <v>157</v>
      </c>
      <c r="I75" t="s">
        <v>158</v>
      </c>
      <c r="J75" t="s">
        <v>46</v>
      </c>
      <c r="K75" t="s">
        <v>47</v>
      </c>
      <c r="L75">
        <v>1319</v>
      </c>
      <c r="M75" s="2">
        <v>1310</v>
      </c>
      <c r="N75">
        <v>-9</v>
      </c>
      <c r="O75" t="str">
        <f>IF(flights_sample_3m[[#This Row],[DEP_DELAY]]&lt;=15,"No delay",IF(flights_sample_3m[[#This Row],[DEP_DELAY]]&lt;=60,"Short Delay","Long Delay"))</f>
        <v>No delay</v>
      </c>
      <c r="P75" t="str">
        <f>IF(flights_sample_3m[[#This Row],[DEP_DELAY]]&lt;=15,"Delayed","On Time")</f>
        <v>Delayed</v>
      </c>
      <c r="Q75">
        <v>12</v>
      </c>
      <c r="R75">
        <v>1322</v>
      </c>
      <c r="S75">
        <v>1339</v>
      </c>
      <c r="T75">
        <v>12</v>
      </c>
      <c r="U75">
        <v>1418</v>
      </c>
      <c r="V75" s="2">
        <v>1351</v>
      </c>
      <c r="W75">
        <v>-27</v>
      </c>
      <c r="X75">
        <v>0</v>
      </c>
      <c r="Y75">
        <v>0</v>
      </c>
      <c r="Z75">
        <v>0</v>
      </c>
      <c r="AA75">
        <v>179</v>
      </c>
      <c r="AB75">
        <v>161</v>
      </c>
      <c r="AC75">
        <v>137</v>
      </c>
      <c r="AD75">
        <v>977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">
      <c r="A76" s="1">
        <v>43553</v>
      </c>
      <c r="B76" s="1" t="str">
        <f>TEXT(flights_sample_3m[[#This Row],[FL_DATE]],"yyyy-mm")</f>
        <v>2019-03</v>
      </c>
      <c r="C76" t="s">
        <v>32</v>
      </c>
      <c r="D76" t="s">
        <v>33</v>
      </c>
      <c r="E76" t="s">
        <v>34</v>
      </c>
      <c r="F76">
        <v>19977</v>
      </c>
      <c r="G76">
        <v>530</v>
      </c>
      <c r="H76" t="s">
        <v>76</v>
      </c>
      <c r="I76" t="s">
        <v>77</v>
      </c>
      <c r="J76" t="s">
        <v>180</v>
      </c>
      <c r="K76" t="s">
        <v>181</v>
      </c>
      <c r="L76">
        <v>2000</v>
      </c>
      <c r="M76" s="2">
        <v>1955</v>
      </c>
      <c r="N76">
        <v>-5</v>
      </c>
      <c r="O76" t="str">
        <f>IF(flights_sample_3m[[#This Row],[DEP_DELAY]]&lt;=15,"No delay",IF(flights_sample_3m[[#This Row],[DEP_DELAY]]&lt;=60,"Short Delay","Long Delay"))</f>
        <v>No delay</v>
      </c>
      <c r="P76" t="str">
        <f>IF(flights_sample_3m[[#This Row],[DEP_DELAY]]&lt;=15,"Delayed","On Time")</f>
        <v>Delayed</v>
      </c>
      <c r="Q76">
        <v>17</v>
      </c>
      <c r="R76">
        <v>2012</v>
      </c>
      <c r="S76">
        <v>2048</v>
      </c>
      <c r="T76">
        <v>3</v>
      </c>
      <c r="U76">
        <v>2103</v>
      </c>
      <c r="V76" s="2">
        <v>2051</v>
      </c>
      <c r="W76">
        <v>-12</v>
      </c>
      <c r="X76">
        <v>0</v>
      </c>
      <c r="Y76">
        <v>0</v>
      </c>
      <c r="Z76">
        <v>0</v>
      </c>
      <c r="AA76">
        <v>63</v>
      </c>
      <c r="AB76">
        <v>56</v>
      </c>
      <c r="AC76">
        <v>36</v>
      </c>
      <c r="AD76">
        <v>191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">
      <c r="A77" s="1">
        <v>43720</v>
      </c>
      <c r="B77" s="1" t="str">
        <f>TEXT(flights_sample_3m[[#This Row],[FL_DATE]],"yyyy-mm")</f>
        <v>2019-09</v>
      </c>
      <c r="C77" t="s">
        <v>167</v>
      </c>
      <c r="D77" t="s">
        <v>168</v>
      </c>
      <c r="E77" t="s">
        <v>169</v>
      </c>
      <c r="F77">
        <v>20363</v>
      </c>
      <c r="G77">
        <v>3338</v>
      </c>
      <c r="H77" t="s">
        <v>177</v>
      </c>
      <c r="I77" t="s">
        <v>111</v>
      </c>
      <c r="J77" t="s">
        <v>207</v>
      </c>
      <c r="K77" t="s">
        <v>208</v>
      </c>
      <c r="L77">
        <v>1755</v>
      </c>
      <c r="M77" s="2">
        <v>1745</v>
      </c>
      <c r="N77">
        <v>-10</v>
      </c>
      <c r="O77" t="str">
        <f>IF(flights_sample_3m[[#This Row],[DEP_DELAY]]&lt;=15,"No delay",IF(flights_sample_3m[[#This Row],[DEP_DELAY]]&lt;=60,"Short Delay","Long Delay"))</f>
        <v>No delay</v>
      </c>
      <c r="P77" t="str">
        <f>IF(flights_sample_3m[[#This Row],[DEP_DELAY]]&lt;=15,"Delayed","On Time")</f>
        <v>Delayed</v>
      </c>
      <c r="Q77">
        <v>24</v>
      </c>
      <c r="R77">
        <v>1809</v>
      </c>
      <c r="S77">
        <v>1857</v>
      </c>
      <c r="T77">
        <v>3</v>
      </c>
      <c r="U77">
        <v>1918</v>
      </c>
      <c r="V77" s="2">
        <v>1900</v>
      </c>
      <c r="W77">
        <v>-18</v>
      </c>
      <c r="X77">
        <v>0</v>
      </c>
      <c r="Y77">
        <v>0</v>
      </c>
      <c r="Z77">
        <v>0</v>
      </c>
      <c r="AA77">
        <v>83</v>
      </c>
      <c r="AB77">
        <v>75</v>
      </c>
      <c r="AC77">
        <v>48</v>
      </c>
      <c r="AD77">
        <v>269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">
      <c r="A78" s="1">
        <v>44373</v>
      </c>
      <c r="B78" s="1" t="str">
        <f>TEXT(flights_sample_3m[[#This Row],[FL_DATE]],"yyyy-mm")</f>
        <v>2021-06</v>
      </c>
      <c r="C78" t="s">
        <v>80</v>
      </c>
      <c r="D78" t="s">
        <v>81</v>
      </c>
      <c r="E78" t="s">
        <v>82</v>
      </c>
      <c r="F78">
        <v>19930</v>
      </c>
      <c r="G78">
        <v>1014</v>
      </c>
      <c r="H78" t="s">
        <v>44</v>
      </c>
      <c r="I78" t="s">
        <v>45</v>
      </c>
      <c r="J78" t="s">
        <v>106</v>
      </c>
      <c r="K78" t="s">
        <v>92</v>
      </c>
      <c r="L78">
        <v>1033</v>
      </c>
      <c r="M78" s="2">
        <v>1055</v>
      </c>
      <c r="N78">
        <v>22</v>
      </c>
      <c r="O78" t="str">
        <f>IF(flights_sample_3m[[#This Row],[DEP_DELAY]]&lt;=15,"No delay",IF(flights_sample_3m[[#This Row],[DEP_DELAY]]&lt;=60,"Short Delay","Long Delay"))</f>
        <v>Short Delay</v>
      </c>
      <c r="P78" t="str">
        <f>IF(flights_sample_3m[[#This Row],[DEP_DELAY]]&lt;=15,"Delayed","On Time")</f>
        <v>On Time</v>
      </c>
      <c r="Q78">
        <v>16</v>
      </c>
      <c r="R78">
        <v>1111</v>
      </c>
      <c r="S78">
        <v>1652</v>
      </c>
      <c r="T78">
        <v>7</v>
      </c>
      <c r="U78">
        <v>1642</v>
      </c>
      <c r="V78" s="2">
        <v>1659</v>
      </c>
      <c r="W78">
        <v>17</v>
      </c>
      <c r="X78">
        <v>0</v>
      </c>
      <c r="Y78">
        <v>0</v>
      </c>
      <c r="Z78">
        <v>0</v>
      </c>
      <c r="AA78">
        <v>249</v>
      </c>
      <c r="AB78">
        <v>244</v>
      </c>
      <c r="AC78">
        <v>221</v>
      </c>
      <c r="AD78">
        <v>1721</v>
      </c>
      <c r="AE78">
        <v>0</v>
      </c>
      <c r="AF78">
        <v>0</v>
      </c>
      <c r="AG78">
        <v>0</v>
      </c>
      <c r="AH78">
        <v>0</v>
      </c>
      <c r="AI78">
        <v>17</v>
      </c>
    </row>
    <row r="79" spans="1:35" x14ac:dyDescent="0.3">
      <c r="A79" s="1">
        <v>44711</v>
      </c>
      <c r="B79" s="1" t="str">
        <f>TEXT(flights_sample_3m[[#This Row],[FL_DATE]],"yyyy-mm")</f>
        <v>2022-05</v>
      </c>
      <c r="C79" t="s">
        <v>64</v>
      </c>
      <c r="D79" t="s">
        <v>65</v>
      </c>
      <c r="E79" t="s">
        <v>66</v>
      </c>
      <c r="F79">
        <v>19805</v>
      </c>
      <c r="G79">
        <v>2013</v>
      </c>
      <c r="H79" t="s">
        <v>136</v>
      </c>
      <c r="I79" t="s">
        <v>137</v>
      </c>
      <c r="J79" t="s">
        <v>55</v>
      </c>
      <c r="K79" t="s">
        <v>56</v>
      </c>
      <c r="L79">
        <v>1431</v>
      </c>
      <c r="M79" s="2">
        <v>1426</v>
      </c>
      <c r="N79">
        <v>-5</v>
      </c>
      <c r="O79" t="str">
        <f>IF(flights_sample_3m[[#This Row],[DEP_DELAY]]&lt;=15,"No delay",IF(flights_sample_3m[[#This Row],[DEP_DELAY]]&lt;=60,"Short Delay","Long Delay"))</f>
        <v>No delay</v>
      </c>
      <c r="P79" t="str">
        <f>IF(flights_sample_3m[[#This Row],[DEP_DELAY]]&lt;=15,"Delayed","On Time")</f>
        <v>Delayed</v>
      </c>
      <c r="Q79">
        <v>13</v>
      </c>
      <c r="R79">
        <v>1439</v>
      </c>
      <c r="S79">
        <v>1521</v>
      </c>
      <c r="T79">
        <v>12</v>
      </c>
      <c r="U79">
        <v>1554</v>
      </c>
      <c r="V79" s="2">
        <v>1533</v>
      </c>
      <c r="W79">
        <v>-21</v>
      </c>
      <c r="X79">
        <v>0</v>
      </c>
      <c r="Y79">
        <v>0</v>
      </c>
      <c r="Z79">
        <v>0</v>
      </c>
      <c r="AA79">
        <v>83</v>
      </c>
      <c r="AB79">
        <v>67</v>
      </c>
      <c r="AC79">
        <v>42</v>
      </c>
      <c r="AD79">
        <v>237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 s="1">
        <v>44876</v>
      </c>
      <c r="B80" s="1" t="str">
        <f>TEXT(flights_sample_3m[[#This Row],[FL_DATE]],"yyyy-mm")</f>
        <v>2022-11</v>
      </c>
      <c r="C80" t="s">
        <v>64</v>
      </c>
      <c r="D80" t="s">
        <v>65</v>
      </c>
      <c r="E80" t="s">
        <v>66</v>
      </c>
      <c r="F80">
        <v>19805</v>
      </c>
      <c r="G80">
        <v>229</v>
      </c>
      <c r="H80" t="s">
        <v>205</v>
      </c>
      <c r="I80" t="s">
        <v>206</v>
      </c>
      <c r="J80" t="s">
        <v>194</v>
      </c>
      <c r="K80" t="s">
        <v>195</v>
      </c>
      <c r="L80">
        <v>1830</v>
      </c>
      <c r="M80" s="2">
        <v>1848</v>
      </c>
      <c r="N80">
        <v>18</v>
      </c>
      <c r="O80" t="str">
        <f>IF(flights_sample_3m[[#This Row],[DEP_DELAY]]&lt;=15,"No delay",IF(flights_sample_3m[[#This Row],[DEP_DELAY]]&lt;=60,"Short Delay","Long Delay"))</f>
        <v>Short Delay</v>
      </c>
      <c r="P80" t="str">
        <f>IF(flights_sample_3m[[#This Row],[DEP_DELAY]]&lt;=15,"Delayed","On Time")</f>
        <v>On Time</v>
      </c>
      <c r="Q80">
        <v>21</v>
      </c>
      <c r="R80">
        <v>1909</v>
      </c>
      <c r="S80">
        <v>2120</v>
      </c>
      <c r="T80">
        <v>3</v>
      </c>
      <c r="U80">
        <v>2123</v>
      </c>
      <c r="V80" s="2">
        <v>2123</v>
      </c>
      <c r="W80">
        <v>0</v>
      </c>
      <c r="X80">
        <v>0</v>
      </c>
      <c r="Y80">
        <v>0</v>
      </c>
      <c r="Z80">
        <v>0</v>
      </c>
      <c r="AA80">
        <v>353</v>
      </c>
      <c r="AB80">
        <v>335</v>
      </c>
      <c r="AC80">
        <v>311</v>
      </c>
      <c r="AD80">
        <v>2370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">
      <c r="A81" s="1">
        <v>43907</v>
      </c>
      <c r="B81" s="1" t="str">
        <f>TEXT(flights_sample_3m[[#This Row],[FL_DATE]],"yyyy-mm")</f>
        <v>2020-03</v>
      </c>
      <c r="C81" t="s">
        <v>182</v>
      </c>
      <c r="D81" t="s">
        <v>183</v>
      </c>
      <c r="E81" t="s">
        <v>184</v>
      </c>
      <c r="F81">
        <v>20398</v>
      </c>
      <c r="G81">
        <v>3620</v>
      </c>
      <c r="H81" t="s">
        <v>209</v>
      </c>
      <c r="I81" t="s">
        <v>210</v>
      </c>
      <c r="J81" t="s">
        <v>55</v>
      </c>
      <c r="K81" t="s">
        <v>56</v>
      </c>
      <c r="L81">
        <v>1606</v>
      </c>
      <c r="M81" s="2">
        <v>1658</v>
      </c>
      <c r="N81">
        <v>52</v>
      </c>
      <c r="O81" t="str">
        <f>IF(flights_sample_3m[[#This Row],[DEP_DELAY]]&lt;=15,"No delay",IF(flights_sample_3m[[#This Row],[DEP_DELAY]]&lt;=60,"Short Delay","Long Delay"))</f>
        <v>Short Delay</v>
      </c>
      <c r="P81" t="str">
        <f>IF(flights_sample_3m[[#This Row],[DEP_DELAY]]&lt;=15,"Delayed","On Time")</f>
        <v>On Time</v>
      </c>
      <c r="Q81">
        <v>32</v>
      </c>
      <c r="R81">
        <v>1730</v>
      </c>
      <c r="S81">
        <v>1810</v>
      </c>
      <c r="T81">
        <v>20</v>
      </c>
      <c r="U81">
        <v>1705</v>
      </c>
      <c r="V81" s="2">
        <v>1830</v>
      </c>
      <c r="W81">
        <v>85</v>
      </c>
      <c r="X81">
        <v>0</v>
      </c>
      <c r="Y81">
        <v>0</v>
      </c>
      <c r="Z81">
        <v>0</v>
      </c>
      <c r="AA81">
        <v>59</v>
      </c>
      <c r="AB81">
        <v>92</v>
      </c>
      <c r="AC81">
        <v>40</v>
      </c>
      <c r="AD81">
        <v>134</v>
      </c>
      <c r="AE81">
        <v>0</v>
      </c>
      <c r="AF81">
        <v>0</v>
      </c>
      <c r="AG81">
        <v>33</v>
      </c>
      <c r="AH81">
        <v>0</v>
      </c>
      <c r="AI81">
        <v>52</v>
      </c>
    </row>
    <row r="82" spans="1:35" x14ac:dyDescent="0.3">
      <c r="A82" s="1">
        <v>43941</v>
      </c>
      <c r="B82" s="1" t="str">
        <f>TEXT(flights_sample_3m[[#This Row],[FL_DATE]],"yyyy-mm")</f>
        <v>2020-04</v>
      </c>
      <c r="C82" t="s">
        <v>57</v>
      </c>
      <c r="D82" t="s">
        <v>58</v>
      </c>
      <c r="E82" t="s">
        <v>59</v>
      </c>
      <c r="F82">
        <v>19393</v>
      </c>
      <c r="G82">
        <v>246</v>
      </c>
      <c r="H82" t="s">
        <v>93</v>
      </c>
      <c r="I82" t="s">
        <v>94</v>
      </c>
      <c r="J82" t="s">
        <v>85</v>
      </c>
      <c r="K82" t="s">
        <v>86</v>
      </c>
      <c r="L82">
        <v>1055</v>
      </c>
      <c r="M82" s="2">
        <v>0</v>
      </c>
      <c r="N82">
        <v>0</v>
      </c>
      <c r="O82" t="str">
        <f>IF(flights_sample_3m[[#This Row],[DEP_DELAY]]&lt;=15,"No delay",IF(flights_sample_3m[[#This Row],[DEP_DELAY]]&lt;=60,"Short Delay","Long Delay"))</f>
        <v>No delay</v>
      </c>
      <c r="P82" t="str">
        <f>IF(flights_sample_3m[[#This Row],[DEP_DELAY]]&lt;=15,"Delayed","On Time")</f>
        <v>Delayed</v>
      </c>
      <c r="Q82">
        <v>0</v>
      </c>
      <c r="R82">
        <v>0</v>
      </c>
      <c r="S82">
        <v>0</v>
      </c>
      <c r="T82">
        <v>0</v>
      </c>
      <c r="U82">
        <v>1300</v>
      </c>
      <c r="V82" s="2">
        <v>0</v>
      </c>
      <c r="W82">
        <v>0</v>
      </c>
      <c r="X82">
        <v>1</v>
      </c>
      <c r="Y82" t="s">
        <v>97</v>
      </c>
      <c r="Z82">
        <v>0</v>
      </c>
      <c r="AA82">
        <v>65</v>
      </c>
      <c r="AB82">
        <v>0</v>
      </c>
      <c r="AC82">
        <v>0</v>
      </c>
      <c r="AD82">
        <v>214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">
      <c r="A83" s="1">
        <v>44773</v>
      </c>
      <c r="B83" s="1" t="str">
        <f>TEXT(flights_sample_3m[[#This Row],[FL_DATE]],"yyyy-mm")</f>
        <v>2022-07</v>
      </c>
      <c r="C83" t="s">
        <v>182</v>
      </c>
      <c r="D83" t="s">
        <v>183</v>
      </c>
      <c r="E83" t="s">
        <v>184</v>
      </c>
      <c r="F83">
        <v>20398</v>
      </c>
      <c r="G83">
        <v>3831</v>
      </c>
      <c r="H83" t="s">
        <v>55</v>
      </c>
      <c r="I83" t="s">
        <v>56</v>
      </c>
      <c r="J83" t="s">
        <v>211</v>
      </c>
      <c r="K83" t="s">
        <v>212</v>
      </c>
      <c r="L83">
        <v>1908</v>
      </c>
      <c r="M83" s="2">
        <v>1918</v>
      </c>
      <c r="N83">
        <v>10</v>
      </c>
      <c r="O83" t="str">
        <f>IF(flights_sample_3m[[#This Row],[DEP_DELAY]]&lt;=15,"No delay",IF(flights_sample_3m[[#This Row],[DEP_DELAY]]&lt;=60,"Short Delay","Long Delay"))</f>
        <v>No delay</v>
      </c>
      <c r="P83" t="str">
        <f>IF(flights_sample_3m[[#This Row],[DEP_DELAY]]&lt;=15,"Delayed","On Time")</f>
        <v>Delayed</v>
      </c>
      <c r="Q83">
        <v>17</v>
      </c>
      <c r="R83">
        <v>1935</v>
      </c>
      <c r="S83">
        <v>2029</v>
      </c>
      <c r="T83">
        <v>5</v>
      </c>
      <c r="U83">
        <v>2033</v>
      </c>
      <c r="V83" s="2">
        <v>2034</v>
      </c>
      <c r="W83">
        <v>1</v>
      </c>
      <c r="X83">
        <v>0</v>
      </c>
      <c r="Y83">
        <v>0</v>
      </c>
      <c r="Z83">
        <v>0</v>
      </c>
      <c r="AA83">
        <v>205</v>
      </c>
      <c r="AB83">
        <v>196</v>
      </c>
      <c r="AC83">
        <v>174</v>
      </c>
      <c r="AD83">
        <v>1360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">
      <c r="A84" s="1">
        <v>43886</v>
      </c>
      <c r="B84" s="1" t="str">
        <f>TEXT(flights_sample_3m[[#This Row],[FL_DATE]],"yyyy-mm")</f>
        <v>2020-02</v>
      </c>
      <c r="C84" t="s">
        <v>71</v>
      </c>
      <c r="D84" t="s">
        <v>72</v>
      </c>
      <c r="E84" t="s">
        <v>73</v>
      </c>
      <c r="F84">
        <v>20452</v>
      </c>
      <c r="G84">
        <v>4508</v>
      </c>
      <c r="H84" t="s">
        <v>213</v>
      </c>
      <c r="I84" t="s">
        <v>214</v>
      </c>
      <c r="J84" t="s">
        <v>177</v>
      </c>
      <c r="K84" t="s">
        <v>111</v>
      </c>
      <c r="L84">
        <v>1102</v>
      </c>
      <c r="M84" s="2">
        <v>1051</v>
      </c>
      <c r="N84">
        <v>-11</v>
      </c>
      <c r="O84" t="str">
        <f>IF(flights_sample_3m[[#This Row],[DEP_DELAY]]&lt;=15,"No delay",IF(flights_sample_3m[[#This Row],[DEP_DELAY]]&lt;=60,"Short Delay","Long Delay"))</f>
        <v>No delay</v>
      </c>
      <c r="P84" t="str">
        <f>IF(flights_sample_3m[[#This Row],[DEP_DELAY]]&lt;=15,"Delayed","On Time")</f>
        <v>Delayed</v>
      </c>
      <c r="Q84">
        <v>16</v>
      </c>
      <c r="R84">
        <v>1107</v>
      </c>
      <c r="S84">
        <v>1222</v>
      </c>
      <c r="T84">
        <v>13</v>
      </c>
      <c r="U84">
        <v>1250</v>
      </c>
      <c r="V84" s="2">
        <v>1235</v>
      </c>
      <c r="W84">
        <v>-15</v>
      </c>
      <c r="X84">
        <v>0</v>
      </c>
      <c r="Y84">
        <v>0</v>
      </c>
      <c r="Z84">
        <v>0</v>
      </c>
      <c r="AA84">
        <v>108</v>
      </c>
      <c r="AB84">
        <v>104</v>
      </c>
      <c r="AC84">
        <v>75</v>
      </c>
      <c r="AD84">
        <v>500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">
      <c r="A85" s="1">
        <v>43516</v>
      </c>
      <c r="B85" s="1" t="str">
        <f>TEXT(flights_sample_3m[[#This Row],[FL_DATE]],"yyyy-mm")</f>
        <v>2019-02</v>
      </c>
      <c r="C85" t="s">
        <v>64</v>
      </c>
      <c r="D85" t="s">
        <v>65</v>
      </c>
      <c r="E85" t="s">
        <v>66</v>
      </c>
      <c r="F85">
        <v>19805</v>
      </c>
      <c r="G85">
        <v>59</v>
      </c>
      <c r="H85" t="s">
        <v>78</v>
      </c>
      <c r="I85" t="s">
        <v>79</v>
      </c>
      <c r="J85" t="s">
        <v>215</v>
      </c>
      <c r="K85" t="s">
        <v>216</v>
      </c>
      <c r="L85">
        <v>820</v>
      </c>
      <c r="M85" s="2">
        <v>827</v>
      </c>
      <c r="N85">
        <v>7</v>
      </c>
      <c r="O85" t="str">
        <f>IF(flights_sample_3m[[#This Row],[DEP_DELAY]]&lt;=15,"No delay",IF(flights_sample_3m[[#This Row],[DEP_DELAY]]&lt;=60,"Short Delay","Long Delay"))</f>
        <v>No delay</v>
      </c>
      <c r="P85" t="str">
        <f>IF(flights_sample_3m[[#This Row],[DEP_DELAY]]&lt;=15,"Delayed","On Time")</f>
        <v>Delayed</v>
      </c>
      <c r="Q85">
        <v>18</v>
      </c>
      <c r="R85">
        <v>845</v>
      </c>
      <c r="S85">
        <v>1156</v>
      </c>
      <c r="T85">
        <v>5</v>
      </c>
      <c r="U85">
        <v>1228</v>
      </c>
      <c r="V85" s="2">
        <v>1201</v>
      </c>
      <c r="W85">
        <v>-27</v>
      </c>
      <c r="X85">
        <v>0</v>
      </c>
      <c r="Y85">
        <v>0</v>
      </c>
      <c r="Z85">
        <v>0</v>
      </c>
      <c r="AA85">
        <v>368</v>
      </c>
      <c r="AB85">
        <v>334</v>
      </c>
      <c r="AC85">
        <v>311</v>
      </c>
      <c r="AD85">
        <v>2504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">
      <c r="A86" s="1">
        <v>44059</v>
      </c>
      <c r="B86" s="1" t="str">
        <f>TEXT(flights_sample_3m[[#This Row],[FL_DATE]],"yyyy-mm")</f>
        <v>2020-08</v>
      </c>
      <c r="C86" t="s">
        <v>39</v>
      </c>
      <c r="D86" t="s">
        <v>40</v>
      </c>
      <c r="E86" t="s">
        <v>41</v>
      </c>
      <c r="F86">
        <v>19790</v>
      </c>
      <c r="G86">
        <v>1298</v>
      </c>
      <c r="H86" t="s">
        <v>185</v>
      </c>
      <c r="I86" t="s">
        <v>186</v>
      </c>
      <c r="J86" t="s">
        <v>85</v>
      </c>
      <c r="K86" t="s">
        <v>86</v>
      </c>
      <c r="L86">
        <v>1050</v>
      </c>
      <c r="M86" s="2">
        <v>1046</v>
      </c>
      <c r="N86">
        <v>-4</v>
      </c>
      <c r="O86" t="str">
        <f>IF(flights_sample_3m[[#This Row],[DEP_DELAY]]&lt;=15,"No delay",IF(flights_sample_3m[[#This Row],[DEP_DELAY]]&lt;=60,"Short Delay","Long Delay"))</f>
        <v>No delay</v>
      </c>
      <c r="P86" t="str">
        <f>IF(flights_sample_3m[[#This Row],[DEP_DELAY]]&lt;=15,"Delayed","On Time")</f>
        <v>Delayed</v>
      </c>
      <c r="Q86">
        <v>10</v>
      </c>
      <c r="R86">
        <v>1056</v>
      </c>
      <c r="S86">
        <v>1202</v>
      </c>
      <c r="T86">
        <v>4</v>
      </c>
      <c r="U86">
        <v>1220</v>
      </c>
      <c r="V86" s="2">
        <v>1206</v>
      </c>
      <c r="W86">
        <v>-14</v>
      </c>
      <c r="X86">
        <v>0</v>
      </c>
      <c r="Y86">
        <v>0</v>
      </c>
      <c r="Z86">
        <v>0</v>
      </c>
      <c r="AA86">
        <v>90</v>
      </c>
      <c r="AB86">
        <v>80</v>
      </c>
      <c r="AC86">
        <v>66</v>
      </c>
      <c r="AD86">
        <v>447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">
      <c r="A87" s="1">
        <v>44252</v>
      </c>
      <c r="B87" s="1" t="str">
        <f>TEXT(flights_sample_3m[[#This Row],[FL_DATE]],"yyyy-mm")</f>
        <v>2021-02</v>
      </c>
      <c r="C87" t="s">
        <v>64</v>
      </c>
      <c r="D87" t="s">
        <v>65</v>
      </c>
      <c r="E87" t="s">
        <v>66</v>
      </c>
      <c r="F87">
        <v>19805</v>
      </c>
      <c r="G87">
        <v>2315</v>
      </c>
      <c r="H87" t="s">
        <v>201</v>
      </c>
      <c r="I87" t="s">
        <v>202</v>
      </c>
      <c r="J87" t="s">
        <v>46</v>
      </c>
      <c r="K87" t="s">
        <v>47</v>
      </c>
      <c r="L87">
        <v>2009</v>
      </c>
      <c r="M87" s="2">
        <v>2004</v>
      </c>
      <c r="N87">
        <v>-5</v>
      </c>
      <c r="O87" t="str">
        <f>IF(flights_sample_3m[[#This Row],[DEP_DELAY]]&lt;=15,"No delay",IF(flights_sample_3m[[#This Row],[DEP_DELAY]]&lt;=60,"Short Delay","Long Delay"))</f>
        <v>No delay</v>
      </c>
      <c r="P87" t="str">
        <f>IF(flights_sample_3m[[#This Row],[DEP_DELAY]]&lt;=15,"Delayed","On Time")</f>
        <v>Delayed</v>
      </c>
      <c r="Q87">
        <v>24</v>
      </c>
      <c r="R87">
        <v>2028</v>
      </c>
      <c r="S87">
        <v>2149</v>
      </c>
      <c r="T87">
        <v>8</v>
      </c>
      <c r="U87">
        <v>2211</v>
      </c>
      <c r="V87" s="2">
        <v>2157</v>
      </c>
      <c r="W87">
        <v>-14</v>
      </c>
      <c r="X87">
        <v>0</v>
      </c>
      <c r="Y87">
        <v>0</v>
      </c>
      <c r="Z87">
        <v>0</v>
      </c>
      <c r="AA87">
        <v>122</v>
      </c>
      <c r="AB87">
        <v>113</v>
      </c>
      <c r="AC87">
        <v>81</v>
      </c>
      <c r="AD87">
        <v>602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">
      <c r="A88" s="1">
        <v>44494</v>
      </c>
      <c r="B88" s="1" t="str">
        <f>TEXT(flights_sample_3m[[#This Row],[FL_DATE]],"yyyy-mm")</f>
        <v>2021-10</v>
      </c>
      <c r="C88" t="s">
        <v>120</v>
      </c>
      <c r="D88" t="s">
        <v>121</v>
      </c>
      <c r="E88" t="s">
        <v>122</v>
      </c>
      <c r="F88">
        <v>20397</v>
      </c>
      <c r="G88">
        <v>5381</v>
      </c>
      <c r="H88" t="s">
        <v>123</v>
      </c>
      <c r="I88" t="s">
        <v>124</v>
      </c>
      <c r="J88" t="s">
        <v>217</v>
      </c>
      <c r="K88" t="s">
        <v>218</v>
      </c>
      <c r="L88">
        <v>936</v>
      </c>
      <c r="M88" s="2">
        <v>926</v>
      </c>
      <c r="N88">
        <v>-10</v>
      </c>
      <c r="O88" t="str">
        <f>IF(flights_sample_3m[[#This Row],[DEP_DELAY]]&lt;=15,"No delay",IF(flights_sample_3m[[#This Row],[DEP_DELAY]]&lt;=60,"Short Delay","Long Delay"))</f>
        <v>No delay</v>
      </c>
      <c r="P88" t="str">
        <f>IF(flights_sample_3m[[#This Row],[DEP_DELAY]]&lt;=15,"Delayed","On Time")</f>
        <v>Delayed</v>
      </c>
      <c r="Q88">
        <v>41</v>
      </c>
      <c r="R88">
        <v>1007</v>
      </c>
      <c r="S88">
        <v>1024</v>
      </c>
      <c r="T88">
        <v>3</v>
      </c>
      <c r="U88">
        <v>1029</v>
      </c>
      <c r="V88" s="2">
        <v>1027</v>
      </c>
      <c r="W88">
        <v>-2</v>
      </c>
      <c r="X88">
        <v>0</v>
      </c>
      <c r="Y88">
        <v>0</v>
      </c>
      <c r="Z88">
        <v>0</v>
      </c>
      <c r="AA88">
        <v>53</v>
      </c>
      <c r="AB88">
        <v>61</v>
      </c>
      <c r="AC88">
        <v>17</v>
      </c>
      <c r="AD88">
        <v>75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 s="1">
        <v>44958</v>
      </c>
      <c r="B89" s="1" t="str">
        <f>TEXT(flights_sample_3m[[#This Row],[FL_DATE]],"yyyy-mm")</f>
        <v>2023-02</v>
      </c>
      <c r="C89" t="s">
        <v>57</v>
      </c>
      <c r="D89" t="s">
        <v>58</v>
      </c>
      <c r="E89" t="s">
        <v>59</v>
      </c>
      <c r="F89">
        <v>19393</v>
      </c>
      <c r="G89">
        <v>1854</v>
      </c>
      <c r="H89" t="s">
        <v>46</v>
      </c>
      <c r="I89" t="s">
        <v>47</v>
      </c>
      <c r="J89" t="s">
        <v>129</v>
      </c>
      <c r="K89" t="s">
        <v>130</v>
      </c>
      <c r="L89">
        <v>1420</v>
      </c>
      <c r="M89" s="2">
        <v>1444</v>
      </c>
      <c r="N89">
        <v>24</v>
      </c>
      <c r="O89" t="str">
        <f>IF(flights_sample_3m[[#This Row],[DEP_DELAY]]&lt;=15,"No delay",IF(flights_sample_3m[[#This Row],[DEP_DELAY]]&lt;=60,"Short Delay","Long Delay"))</f>
        <v>Short Delay</v>
      </c>
      <c r="P89" t="str">
        <f>IF(flights_sample_3m[[#This Row],[DEP_DELAY]]&lt;=15,"Delayed","On Time")</f>
        <v>On Time</v>
      </c>
      <c r="Q89">
        <v>10</v>
      </c>
      <c r="R89">
        <v>1454</v>
      </c>
      <c r="S89">
        <v>1517</v>
      </c>
      <c r="T89">
        <v>8</v>
      </c>
      <c r="U89">
        <v>1515</v>
      </c>
      <c r="V89" s="2">
        <v>1525</v>
      </c>
      <c r="W89">
        <v>10</v>
      </c>
      <c r="X89">
        <v>0</v>
      </c>
      <c r="Y89">
        <v>0</v>
      </c>
      <c r="Z89">
        <v>0</v>
      </c>
      <c r="AA89">
        <v>115</v>
      </c>
      <c r="AB89">
        <v>101</v>
      </c>
      <c r="AC89">
        <v>83</v>
      </c>
      <c r="AD89">
        <v>628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">
      <c r="A90" s="1">
        <v>45006</v>
      </c>
      <c r="B90" s="1" t="str">
        <f>TEXT(flights_sample_3m[[#This Row],[FL_DATE]],"yyyy-mm")</f>
        <v>2023-03</v>
      </c>
      <c r="C90" t="s">
        <v>167</v>
      </c>
      <c r="D90" t="s">
        <v>168</v>
      </c>
      <c r="E90" t="s">
        <v>169</v>
      </c>
      <c r="F90">
        <v>20363</v>
      </c>
      <c r="G90">
        <v>4953</v>
      </c>
      <c r="H90" t="s">
        <v>85</v>
      </c>
      <c r="I90" t="s">
        <v>86</v>
      </c>
      <c r="J90" t="s">
        <v>219</v>
      </c>
      <c r="K90" t="s">
        <v>220</v>
      </c>
      <c r="L90">
        <v>1534</v>
      </c>
      <c r="M90" s="2">
        <v>1529</v>
      </c>
      <c r="N90">
        <v>-5</v>
      </c>
      <c r="O90" t="str">
        <f>IF(flights_sample_3m[[#This Row],[DEP_DELAY]]&lt;=15,"No delay",IF(flights_sample_3m[[#This Row],[DEP_DELAY]]&lt;=60,"Short Delay","Long Delay"))</f>
        <v>No delay</v>
      </c>
      <c r="P90" t="str">
        <f>IF(flights_sample_3m[[#This Row],[DEP_DELAY]]&lt;=15,"Delayed","On Time")</f>
        <v>Delayed</v>
      </c>
      <c r="Q90">
        <v>15</v>
      </c>
      <c r="R90">
        <v>1544</v>
      </c>
      <c r="S90">
        <v>1622</v>
      </c>
      <c r="T90">
        <v>5</v>
      </c>
      <c r="U90">
        <v>1638</v>
      </c>
      <c r="V90" s="2">
        <v>1627</v>
      </c>
      <c r="W90">
        <v>-11</v>
      </c>
      <c r="X90">
        <v>0</v>
      </c>
      <c r="Y90">
        <v>0</v>
      </c>
      <c r="Z90">
        <v>0</v>
      </c>
      <c r="AA90">
        <v>64</v>
      </c>
      <c r="AB90">
        <v>58</v>
      </c>
      <c r="AC90">
        <v>38</v>
      </c>
      <c r="AD90">
        <v>208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">
      <c r="A91" s="1">
        <v>43563</v>
      </c>
      <c r="B91" s="1" t="str">
        <f>TEXT(flights_sample_3m[[#This Row],[FL_DATE]],"yyyy-mm")</f>
        <v>2019-04</v>
      </c>
      <c r="C91" t="s">
        <v>64</v>
      </c>
      <c r="D91" t="s">
        <v>65</v>
      </c>
      <c r="E91" t="s">
        <v>66</v>
      </c>
      <c r="F91">
        <v>19805</v>
      </c>
      <c r="G91">
        <v>1977</v>
      </c>
      <c r="H91" t="s">
        <v>159</v>
      </c>
      <c r="I91" t="s">
        <v>160</v>
      </c>
      <c r="J91" t="s">
        <v>221</v>
      </c>
      <c r="K91" t="s">
        <v>222</v>
      </c>
      <c r="L91">
        <v>614</v>
      </c>
      <c r="M91" s="2">
        <v>606</v>
      </c>
      <c r="N91">
        <v>-8</v>
      </c>
      <c r="O91" t="str">
        <f>IF(flights_sample_3m[[#This Row],[DEP_DELAY]]&lt;=15,"No delay",IF(flights_sample_3m[[#This Row],[DEP_DELAY]]&lt;=60,"Short Delay","Long Delay"))</f>
        <v>No delay</v>
      </c>
      <c r="P91" t="str">
        <f>IF(flights_sample_3m[[#This Row],[DEP_DELAY]]&lt;=15,"Delayed","On Time")</f>
        <v>Delayed</v>
      </c>
      <c r="Q91">
        <v>14</v>
      </c>
      <c r="R91">
        <v>620</v>
      </c>
      <c r="S91">
        <v>656</v>
      </c>
      <c r="T91">
        <v>4</v>
      </c>
      <c r="U91">
        <v>717</v>
      </c>
      <c r="V91" s="2">
        <v>700</v>
      </c>
      <c r="W91">
        <v>-17</v>
      </c>
      <c r="X91">
        <v>0</v>
      </c>
      <c r="Y91">
        <v>0</v>
      </c>
      <c r="Z91">
        <v>0</v>
      </c>
      <c r="AA91">
        <v>63</v>
      </c>
      <c r="AB91">
        <v>54</v>
      </c>
      <c r="AC91">
        <v>36</v>
      </c>
      <c r="AD91">
        <v>204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">
      <c r="A92" s="1">
        <v>44282</v>
      </c>
      <c r="B92" s="1" t="str">
        <f>TEXT(flights_sample_3m[[#This Row],[FL_DATE]],"yyyy-mm")</f>
        <v>2021-03</v>
      </c>
      <c r="C92" t="s">
        <v>182</v>
      </c>
      <c r="D92" t="s">
        <v>183</v>
      </c>
      <c r="E92" t="s">
        <v>184</v>
      </c>
      <c r="F92">
        <v>20398</v>
      </c>
      <c r="G92">
        <v>4294</v>
      </c>
      <c r="H92" t="s">
        <v>223</v>
      </c>
      <c r="I92" t="s">
        <v>224</v>
      </c>
      <c r="J92" t="s">
        <v>55</v>
      </c>
      <c r="K92" t="s">
        <v>56</v>
      </c>
      <c r="L92">
        <v>1750</v>
      </c>
      <c r="M92" s="2">
        <v>1740</v>
      </c>
      <c r="N92">
        <v>-10</v>
      </c>
      <c r="O92" t="str">
        <f>IF(flights_sample_3m[[#This Row],[DEP_DELAY]]&lt;=15,"No delay",IF(flights_sample_3m[[#This Row],[DEP_DELAY]]&lt;=60,"Short Delay","Long Delay"))</f>
        <v>No delay</v>
      </c>
      <c r="P92" t="str">
        <f>IF(flights_sample_3m[[#This Row],[DEP_DELAY]]&lt;=15,"Delayed","On Time")</f>
        <v>Delayed</v>
      </c>
      <c r="Q92">
        <v>8</v>
      </c>
      <c r="R92">
        <v>1748</v>
      </c>
      <c r="S92">
        <v>1855</v>
      </c>
      <c r="T92">
        <v>9</v>
      </c>
      <c r="U92">
        <v>1927</v>
      </c>
      <c r="V92" s="2">
        <v>1904</v>
      </c>
      <c r="W92">
        <v>-23</v>
      </c>
      <c r="X92">
        <v>0</v>
      </c>
      <c r="Y92">
        <v>0</v>
      </c>
      <c r="Z92">
        <v>0</v>
      </c>
      <c r="AA92">
        <v>97</v>
      </c>
      <c r="AB92">
        <v>84</v>
      </c>
      <c r="AC92">
        <v>67</v>
      </c>
      <c r="AD92">
        <v>327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">
      <c r="A93" s="1">
        <v>44532</v>
      </c>
      <c r="B93" s="1" t="str">
        <f>TEXT(flights_sample_3m[[#This Row],[FL_DATE]],"yyyy-mm")</f>
        <v>2021-12</v>
      </c>
      <c r="C93" t="s">
        <v>39</v>
      </c>
      <c r="D93" t="s">
        <v>40</v>
      </c>
      <c r="E93" t="s">
        <v>41</v>
      </c>
      <c r="F93">
        <v>19790</v>
      </c>
      <c r="G93">
        <v>1218</v>
      </c>
      <c r="H93" t="s">
        <v>146</v>
      </c>
      <c r="I93" t="s">
        <v>147</v>
      </c>
      <c r="J93" t="s">
        <v>153</v>
      </c>
      <c r="K93" t="s">
        <v>154</v>
      </c>
      <c r="L93">
        <v>2103</v>
      </c>
      <c r="M93" s="2">
        <v>2100</v>
      </c>
      <c r="N93">
        <v>-3</v>
      </c>
      <c r="O93" t="str">
        <f>IF(flights_sample_3m[[#This Row],[DEP_DELAY]]&lt;=15,"No delay",IF(flights_sample_3m[[#This Row],[DEP_DELAY]]&lt;=60,"Short Delay","Long Delay"))</f>
        <v>No delay</v>
      </c>
      <c r="P93" t="str">
        <f>IF(flights_sample_3m[[#This Row],[DEP_DELAY]]&lt;=15,"Delayed","On Time")</f>
        <v>Delayed</v>
      </c>
      <c r="Q93">
        <v>13</v>
      </c>
      <c r="R93">
        <v>2113</v>
      </c>
      <c r="S93">
        <v>10</v>
      </c>
      <c r="T93">
        <v>5</v>
      </c>
      <c r="U93">
        <v>29</v>
      </c>
      <c r="V93" s="2">
        <v>15</v>
      </c>
      <c r="W93">
        <v>-14</v>
      </c>
      <c r="X93">
        <v>0</v>
      </c>
      <c r="Y93">
        <v>0</v>
      </c>
      <c r="Z93">
        <v>0</v>
      </c>
      <c r="AA93">
        <v>146</v>
      </c>
      <c r="AB93">
        <v>135</v>
      </c>
      <c r="AC93">
        <v>117</v>
      </c>
      <c r="AD93">
        <v>920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">
      <c r="A94" s="1">
        <v>43478</v>
      </c>
      <c r="B94" s="1" t="str">
        <f>TEXT(flights_sample_3m[[#This Row],[FL_DATE]],"yyyy-mm")</f>
        <v>2019-01</v>
      </c>
      <c r="C94" t="s">
        <v>32</v>
      </c>
      <c r="D94" t="s">
        <v>33</v>
      </c>
      <c r="E94" t="s">
        <v>34</v>
      </c>
      <c r="F94">
        <v>19977</v>
      </c>
      <c r="G94">
        <v>220</v>
      </c>
      <c r="H94" t="s">
        <v>106</v>
      </c>
      <c r="I94" t="s">
        <v>92</v>
      </c>
      <c r="J94" t="s">
        <v>42</v>
      </c>
      <c r="K94" t="s">
        <v>43</v>
      </c>
      <c r="L94">
        <v>1940</v>
      </c>
      <c r="M94" s="2">
        <v>1941</v>
      </c>
      <c r="N94">
        <v>1</v>
      </c>
      <c r="O94" t="str">
        <f>IF(flights_sample_3m[[#This Row],[DEP_DELAY]]&lt;=15,"No delay",IF(flights_sample_3m[[#This Row],[DEP_DELAY]]&lt;=60,"Short Delay","Long Delay"))</f>
        <v>No delay</v>
      </c>
      <c r="P94" t="str">
        <f>IF(flights_sample_3m[[#This Row],[DEP_DELAY]]&lt;=15,"Delayed","On Time")</f>
        <v>Delayed</v>
      </c>
      <c r="Q94">
        <v>24</v>
      </c>
      <c r="R94">
        <v>2005</v>
      </c>
      <c r="S94">
        <v>2101</v>
      </c>
      <c r="T94">
        <v>4</v>
      </c>
      <c r="U94">
        <v>2109</v>
      </c>
      <c r="V94" s="2">
        <v>2105</v>
      </c>
      <c r="W94">
        <v>-4</v>
      </c>
      <c r="X94">
        <v>0</v>
      </c>
      <c r="Y94">
        <v>0</v>
      </c>
      <c r="Z94">
        <v>0</v>
      </c>
      <c r="AA94">
        <v>89</v>
      </c>
      <c r="AB94">
        <v>84</v>
      </c>
      <c r="AC94">
        <v>56</v>
      </c>
      <c r="AD94">
        <v>334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">
      <c r="A95" s="1">
        <v>43539</v>
      </c>
      <c r="B95" s="1" t="str">
        <f>TEXT(flights_sample_3m[[#This Row],[FL_DATE]],"yyyy-mm")</f>
        <v>2019-03</v>
      </c>
      <c r="C95" t="s">
        <v>57</v>
      </c>
      <c r="D95" t="s">
        <v>58</v>
      </c>
      <c r="E95" t="s">
        <v>59</v>
      </c>
      <c r="F95">
        <v>19393</v>
      </c>
      <c r="G95">
        <v>2535</v>
      </c>
      <c r="H95" t="s">
        <v>225</v>
      </c>
      <c r="I95" t="s">
        <v>226</v>
      </c>
      <c r="J95" t="s">
        <v>129</v>
      </c>
      <c r="K95" t="s">
        <v>130</v>
      </c>
      <c r="L95">
        <v>1130</v>
      </c>
      <c r="M95" s="2">
        <v>1129</v>
      </c>
      <c r="N95">
        <v>-1</v>
      </c>
      <c r="O95" t="str">
        <f>IF(flights_sample_3m[[#This Row],[DEP_DELAY]]&lt;=15,"No delay",IF(flights_sample_3m[[#This Row],[DEP_DELAY]]&lt;=60,"Short Delay","Long Delay"))</f>
        <v>No delay</v>
      </c>
      <c r="P95" t="str">
        <f>IF(flights_sample_3m[[#This Row],[DEP_DELAY]]&lt;=15,"Delayed","On Time")</f>
        <v>Delayed</v>
      </c>
      <c r="Q95">
        <v>7</v>
      </c>
      <c r="R95">
        <v>1136</v>
      </c>
      <c r="S95">
        <v>1314</v>
      </c>
      <c r="T95">
        <v>9</v>
      </c>
      <c r="U95">
        <v>1330</v>
      </c>
      <c r="V95" s="2">
        <v>1323</v>
      </c>
      <c r="W95">
        <v>-7</v>
      </c>
      <c r="X95">
        <v>0</v>
      </c>
      <c r="Y95">
        <v>0</v>
      </c>
      <c r="Z95">
        <v>0</v>
      </c>
      <c r="AA95">
        <v>240</v>
      </c>
      <c r="AB95">
        <v>234</v>
      </c>
      <c r="AC95">
        <v>218</v>
      </c>
      <c r="AD95">
        <v>1524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">
      <c r="A96" s="1">
        <v>44665</v>
      </c>
      <c r="B96" s="1" t="str">
        <f>TEXT(flights_sample_3m[[#This Row],[FL_DATE]],"yyyy-mm")</f>
        <v>2022-04</v>
      </c>
      <c r="C96" t="s">
        <v>148</v>
      </c>
      <c r="D96" t="s">
        <v>149</v>
      </c>
      <c r="E96" t="s">
        <v>150</v>
      </c>
      <c r="F96">
        <v>20304</v>
      </c>
      <c r="G96">
        <v>3509</v>
      </c>
      <c r="H96" t="s">
        <v>42</v>
      </c>
      <c r="I96" t="s">
        <v>43</v>
      </c>
      <c r="J96" t="s">
        <v>225</v>
      </c>
      <c r="K96" t="s">
        <v>226</v>
      </c>
      <c r="L96">
        <v>1944</v>
      </c>
      <c r="M96" s="2">
        <v>1941</v>
      </c>
      <c r="N96">
        <v>-3</v>
      </c>
      <c r="O96" t="str">
        <f>IF(flights_sample_3m[[#This Row],[DEP_DELAY]]&lt;=15,"No delay",IF(flights_sample_3m[[#This Row],[DEP_DELAY]]&lt;=60,"Short Delay","Long Delay"))</f>
        <v>No delay</v>
      </c>
      <c r="P96" t="str">
        <f>IF(flights_sample_3m[[#This Row],[DEP_DELAY]]&lt;=15,"Delayed","On Time")</f>
        <v>Delayed</v>
      </c>
      <c r="Q96">
        <v>29</v>
      </c>
      <c r="R96">
        <v>2010</v>
      </c>
      <c r="S96">
        <v>2054</v>
      </c>
      <c r="T96">
        <v>5</v>
      </c>
      <c r="U96">
        <v>2050</v>
      </c>
      <c r="V96" s="2">
        <v>2059</v>
      </c>
      <c r="W96">
        <v>9</v>
      </c>
      <c r="X96">
        <v>0</v>
      </c>
      <c r="Y96">
        <v>0</v>
      </c>
      <c r="Z96">
        <v>0</v>
      </c>
      <c r="AA96">
        <v>66</v>
      </c>
      <c r="AB96">
        <v>78</v>
      </c>
      <c r="AC96">
        <v>44</v>
      </c>
      <c r="AD96">
        <v>297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">
      <c r="A97" s="1">
        <v>44494</v>
      </c>
      <c r="B97" s="1" t="str">
        <f>TEXT(flights_sample_3m[[#This Row],[FL_DATE]],"yyyy-mm")</f>
        <v>2021-10</v>
      </c>
      <c r="C97" t="s">
        <v>64</v>
      </c>
      <c r="D97" t="s">
        <v>65</v>
      </c>
      <c r="E97" t="s">
        <v>66</v>
      </c>
      <c r="F97">
        <v>19805</v>
      </c>
      <c r="G97">
        <v>1376</v>
      </c>
      <c r="H97" t="s">
        <v>123</v>
      </c>
      <c r="I97" t="s">
        <v>124</v>
      </c>
      <c r="J97" t="s">
        <v>37</v>
      </c>
      <c r="K97" t="s">
        <v>38</v>
      </c>
      <c r="L97">
        <v>754</v>
      </c>
      <c r="M97" s="2">
        <v>743</v>
      </c>
      <c r="N97">
        <v>-11</v>
      </c>
      <c r="O97" t="str">
        <f>IF(flights_sample_3m[[#This Row],[DEP_DELAY]]&lt;=15,"No delay",IF(flights_sample_3m[[#This Row],[DEP_DELAY]]&lt;=60,"Short Delay","Long Delay"))</f>
        <v>No delay</v>
      </c>
      <c r="P97" t="str">
        <f>IF(flights_sample_3m[[#This Row],[DEP_DELAY]]&lt;=15,"Delayed","On Time")</f>
        <v>Delayed</v>
      </c>
      <c r="Q97">
        <v>29</v>
      </c>
      <c r="R97">
        <v>812</v>
      </c>
      <c r="S97">
        <v>929</v>
      </c>
      <c r="T97">
        <v>8</v>
      </c>
      <c r="U97">
        <v>945</v>
      </c>
      <c r="V97" s="2">
        <v>937</v>
      </c>
      <c r="W97">
        <v>-8</v>
      </c>
      <c r="X97">
        <v>0</v>
      </c>
      <c r="Y97">
        <v>0</v>
      </c>
      <c r="Z97">
        <v>0</v>
      </c>
      <c r="AA97">
        <v>111</v>
      </c>
      <c r="AB97">
        <v>114</v>
      </c>
      <c r="AC97">
        <v>77</v>
      </c>
      <c r="AD97">
        <v>529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">
      <c r="A98" s="1">
        <v>45099</v>
      </c>
      <c r="B98" s="1" t="str">
        <f>TEXT(flights_sample_3m[[#This Row],[FL_DATE]],"yyyy-mm")</f>
        <v>2023-06</v>
      </c>
      <c r="C98" t="s">
        <v>57</v>
      </c>
      <c r="D98" t="s">
        <v>58</v>
      </c>
      <c r="E98" t="s">
        <v>59</v>
      </c>
      <c r="F98">
        <v>19393</v>
      </c>
      <c r="G98">
        <v>1359</v>
      </c>
      <c r="H98" t="s">
        <v>93</v>
      </c>
      <c r="I98" t="s">
        <v>94</v>
      </c>
      <c r="J98" t="s">
        <v>53</v>
      </c>
      <c r="K98" t="s">
        <v>54</v>
      </c>
      <c r="L98">
        <v>510</v>
      </c>
      <c r="M98" s="2">
        <v>506</v>
      </c>
      <c r="N98">
        <v>-4</v>
      </c>
      <c r="O98" t="str">
        <f>IF(flights_sample_3m[[#This Row],[DEP_DELAY]]&lt;=15,"No delay",IF(flights_sample_3m[[#This Row],[DEP_DELAY]]&lt;=60,"Short Delay","Long Delay"))</f>
        <v>No delay</v>
      </c>
      <c r="P98" t="str">
        <f>IF(flights_sample_3m[[#This Row],[DEP_DELAY]]&lt;=15,"Delayed","On Time")</f>
        <v>Delayed</v>
      </c>
      <c r="Q98">
        <v>15</v>
      </c>
      <c r="R98">
        <v>521</v>
      </c>
      <c r="S98">
        <v>744</v>
      </c>
      <c r="T98">
        <v>6</v>
      </c>
      <c r="U98">
        <v>800</v>
      </c>
      <c r="V98" s="2">
        <v>750</v>
      </c>
      <c r="W98">
        <v>-10</v>
      </c>
      <c r="X98">
        <v>0</v>
      </c>
      <c r="Y98">
        <v>0</v>
      </c>
      <c r="Z98">
        <v>0</v>
      </c>
      <c r="AA98">
        <v>110</v>
      </c>
      <c r="AB98">
        <v>104</v>
      </c>
      <c r="AC98">
        <v>83</v>
      </c>
      <c r="AD98">
        <v>616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">
      <c r="A99" s="1">
        <v>43800</v>
      </c>
      <c r="B99" s="1" t="str">
        <f>TEXT(flights_sample_3m[[#This Row],[FL_DATE]],"yyyy-mm")</f>
        <v>2019-12</v>
      </c>
      <c r="C99" t="s">
        <v>39</v>
      </c>
      <c r="D99" t="s">
        <v>40</v>
      </c>
      <c r="E99" t="s">
        <v>41</v>
      </c>
      <c r="F99">
        <v>19790</v>
      </c>
      <c r="G99">
        <v>1950</v>
      </c>
      <c r="H99" t="s">
        <v>53</v>
      </c>
      <c r="I99" t="s">
        <v>54</v>
      </c>
      <c r="J99" t="s">
        <v>177</v>
      </c>
      <c r="K99" t="s">
        <v>111</v>
      </c>
      <c r="L99">
        <v>800</v>
      </c>
      <c r="M99" s="2">
        <v>823</v>
      </c>
      <c r="N99">
        <v>23</v>
      </c>
      <c r="O99" t="str">
        <f>IF(flights_sample_3m[[#This Row],[DEP_DELAY]]&lt;=15,"No delay",IF(flights_sample_3m[[#This Row],[DEP_DELAY]]&lt;=60,"Short Delay","Long Delay"))</f>
        <v>Short Delay</v>
      </c>
      <c r="P99" t="str">
        <f>IF(flights_sample_3m[[#This Row],[DEP_DELAY]]&lt;=15,"Delayed","On Time")</f>
        <v>On Time</v>
      </c>
      <c r="Q99">
        <v>25</v>
      </c>
      <c r="R99">
        <v>848</v>
      </c>
      <c r="S99">
        <v>1048</v>
      </c>
      <c r="T99">
        <v>7</v>
      </c>
      <c r="U99">
        <v>1035</v>
      </c>
      <c r="V99" s="2">
        <v>1055</v>
      </c>
      <c r="W99">
        <v>20</v>
      </c>
      <c r="X99">
        <v>0</v>
      </c>
      <c r="Y99">
        <v>0</v>
      </c>
      <c r="Z99">
        <v>0</v>
      </c>
      <c r="AA99">
        <v>155</v>
      </c>
      <c r="AB99">
        <v>152</v>
      </c>
      <c r="AC99">
        <v>120</v>
      </c>
      <c r="AD99">
        <v>950</v>
      </c>
      <c r="AE99">
        <v>20</v>
      </c>
      <c r="AF99">
        <v>0</v>
      </c>
      <c r="AG99">
        <v>0</v>
      </c>
      <c r="AH99">
        <v>0</v>
      </c>
      <c r="AI99">
        <v>0</v>
      </c>
    </row>
    <row r="100" spans="1:35" x14ac:dyDescent="0.3">
      <c r="A100" s="1">
        <v>43647</v>
      </c>
      <c r="B100" s="1" t="str">
        <f>TEXT(flights_sample_3m[[#This Row],[FL_DATE]],"yyyy-mm")</f>
        <v>2019-07</v>
      </c>
      <c r="C100" t="s">
        <v>50</v>
      </c>
      <c r="D100" t="s">
        <v>51</v>
      </c>
      <c r="E100" t="s">
        <v>52</v>
      </c>
      <c r="F100">
        <v>20416</v>
      </c>
      <c r="G100">
        <v>695</v>
      </c>
      <c r="H100" t="s">
        <v>98</v>
      </c>
      <c r="I100" t="s">
        <v>99</v>
      </c>
      <c r="J100" t="s">
        <v>129</v>
      </c>
      <c r="K100" t="s">
        <v>130</v>
      </c>
      <c r="L100">
        <v>1459</v>
      </c>
      <c r="M100" s="2">
        <v>1452</v>
      </c>
      <c r="N100">
        <v>-7</v>
      </c>
      <c r="O100" t="str">
        <f>IF(flights_sample_3m[[#This Row],[DEP_DELAY]]&lt;=15,"No delay",IF(flights_sample_3m[[#This Row],[DEP_DELAY]]&lt;=60,"Short Delay","Long Delay"))</f>
        <v>No delay</v>
      </c>
      <c r="P100" t="str">
        <f>IF(flights_sample_3m[[#This Row],[DEP_DELAY]]&lt;=15,"Delayed","On Time")</f>
        <v>Delayed</v>
      </c>
      <c r="Q100">
        <v>10</v>
      </c>
      <c r="R100">
        <v>1502</v>
      </c>
      <c r="S100">
        <v>1625</v>
      </c>
      <c r="T100">
        <v>10</v>
      </c>
      <c r="U100">
        <v>1701</v>
      </c>
      <c r="V100" s="2">
        <v>1635</v>
      </c>
      <c r="W100">
        <v>-26</v>
      </c>
      <c r="X100">
        <v>0</v>
      </c>
      <c r="Y100">
        <v>0</v>
      </c>
      <c r="Z100">
        <v>0</v>
      </c>
      <c r="AA100">
        <v>302</v>
      </c>
      <c r="AB100">
        <v>283</v>
      </c>
      <c r="AC100">
        <v>263</v>
      </c>
      <c r="AD100">
        <v>2106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">
      <c r="A101" s="1">
        <v>44634</v>
      </c>
      <c r="B101" s="1" t="str">
        <f>TEXT(flights_sample_3m[[#This Row],[FL_DATE]],"yyyy-mm")</f>
        <v>2022-03</v>
      </c>
      <c r="C101" t="s">
        <v>148</v>
      </c>
      <c r="D101" t="s">
        <v>149</v>
      </c>
      <c r="E101" t="s">
        <v>150</v>
      </c>
      <c r="F101">
        <v>20304</v>
      </c>
      <c r="G101">
        <v>3649</v>
      </c>
      <c r="H101" t="s">
        <v>161</v>
      </c>
      <c r="I101" t="s">
        <v>162</v>
      </c>
      <c r="J101" t="s">
        <v>42</v>
      </c>
      <c r="K101" t="s">
        <v>43</v>
      </c>
      <c r="L101">
        <v>1400</v>
      </c>
      <c r="M101" s="2">
        <v>1358</v>
      </c>
      <c r="N101">
        <v>-2</v>
      </c>
      <c r="O101" t="str">
        <f>IF(flights_sample_3m[[#This Row],[DEP_DELAY]]&lt;=15,"No delay",IF(flights_sample_3m[[#This Row],[DEP_DELAY]]&lt;=60,"Short Delay","Long Delay"))</f>
        <v>No delay</v>
      </c>
      <c r="P101" t="str">
        <f>IF(flights_sample_3m[[#This Row],[DEP_DELAY]]&lt;=15,"Delayed","On Time")</f>
        <v>Delayed</v>
      </c>
      <c r="Q101">
        <v>17</v>
      </c>
      <c r="R101">
        <v>1415</v>
      </c>
      <c r="S101">
        <v>1656</v>
      </c>
      <c r="T101">
        <v>4</v>
      </c>
      <c r="U101">
        <v>1700</v>
      </c>
      <c r="V101" s="2">
        <v>1700</v>
      </c>
      <c r="W101">
        <v>0</v>
      </c>
      <c r="X101">
        <v>0</v>
      </c>
      <c r="Y101">
        <v>0</v>
      </c>
      <c r="Z101">
        <v>0</v>
      </c>
      <c r="AA101">
        <v>120</v>
      </c>
      <c r="AB101">
        <v>122</v>
      </c>
      <c r="AC101">
        <v>101</v>
      </c>
      <c r="AD101">
        <v>748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">
      <c r="A102" s="1">
        <v>43554</v>
      </c>
      <c r="B102" s="1" t="str">
        <f>TEXT(flights_sample_3m[[#This Row],[FL_DATE]],"yyyy-mm")</f>
        <v>2019-03</v>
      </c>
      <c r="C102" t="s">
        <v>126</v>
      </c>
      <c r="D102" t="s">
        <v>127</v>
      </c>
      <c r="E102" t="s">
        <v>128</v>
      </c>
      <c r="F102">
        <v>20368</v>
      </c>
      <c r="G102">
        <v>720</v>
      </c>
      <c r="H102" t="s">
        <v>227</v>
      </c>
      <c r="I102" t="s">
        <v>228</v>
      </c>
      <c r="J102" t="s">
        <v>229</v>
      </c>
      <c r="K102" t="s">
        <v>230</v>
      </c>
      <c r="L102">
        <v>730</v>
      </c>
      <c r="M102" s="2">
        <v>715</v>
      </c>
      <c r="N102">
        <v>-15</v>
      </c>
      <c r="O102" t="str">
        <f>IF(flights_sample_3m[[#This Row],[DEP_DELAY]]&lt;=15,"No delay",IF(flights_sample_3m[[#This Row],[DEP_DELAY]]&lt;=60,"Short Delay","Long Delay"))</f>
        <v>No delay</v>
      </c>
      <c r="P102" t="str">
        <f>IF(flights_sample_3m[[#This Row],[DEP_DELAY]]&lt;=15,"Delayed","On Time")</f>
        <v>Delayed</v>
      </c>
      <c r="Q102">
        <v>8</v>
      </c>
      <c r="R102">
        <v>723</v>
      </c>
      <c r="S102">
        <v>941</v>
      </c>
      <c r="T102">
        <v>4</v>
      </c>
      <c r="U102">
        <v>1018</v>
      </c>
      <c r="V102" s="2">
        <v>945</v>
      </c>
      <c r="W102">
        <v>-33</v>
      </c>
      <c r="X102">
        <v>0</v>
      </c>
      <c r="Y102">
        <v>0</v>
      </c>
      <c r="Z102">
        <v>0</v>
      </c>
      <c r="AA102">
        <v>168</v>
      </c>
      <c r="AB102">
        <v>150</v>
      </c>
      <c r="AC102">
        <v>138</v>
      </c>
      <c r="AD102">
        <v>1078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">
      <c r="A103" s="1">
        <v>43503</v>
      </c>
      <c r="B103" s="1" t="str">
        <f>TEXT(flights_sample_3m[[#This Row],[FL_DATE]],"yyyy-mm")</f>
        <v>2019-02</v>
      </c>
      <c r="C103" t="s">
        <v>39</v>
      </c>
      <c r="D103" t="s">
        <v>40</v>
      </c>
      <c r="E103" t="s">
        <v>41</v>
      </c>
      <c r="F103">
        <v>19790</v>
      </c>
      <c r="G103">
        <v>2229</v>
      </c>
      <c r="H103" t="s">
        <v>112</v>
      </c>
      <c r="I103" t="s">
        <v>113</v>
      </c>
      <c r="J103" t="s">
        <v>85</v>
      </c>
      <c r="K103" t="s">
        <v>86</v>
      </c>
      <c r="L103">
        <v>1244</v>
      </c>
      <c r="M103" s="2">
        <v>1236</v>
      </c>
      <c r="N103">
        <v>-8</v>
      </c>
      <c r="O103" t="str">
        <f>IF(flights_sample_3m[[#This Row],[DEP_DELAY]]&lt;=15,"No delay",IF(flights_sample_3m[[#This Row],[DEP_DELAY]]&lt;=60,"Short Delay","Long Delay"))</f>
        <v>No delay</v>
      </c>
      <c r="P103" t="str">
        <f>IF(flights_sample_3m[[#This Row],[DEP_DELAY]]&lt;=15,"Delayed","On Time")</f>
        <v>Delayed</v>
      </c>
      <c r="Q103">
        <v>20</v>
      </c>
      <c r="R103">
        <v>1256</v>
      </c>
      <c r="S103">
        <v>1342</v>
      </c>
      <c r="T103">
        <v>5</v>
      </c>
      <c r="U103">
        <v>1408</v>
      </c>
      <c r="V103" s="2">
        <v>1347</v>
      </c>
      <c r="W103">
        <v>-21</v>
      </c>
      <c r="X103">
        <v>0</v>
      </c>
      <c r="Y103">
        <v>0</v>
      </c>
      <c r="Z103">
        <v>0</v>
      </c>
      <c r="AA103">
        <v>84</v>
      </c>
      <c r="AB103">
        <v>71</v>
      </c>
      <c r="AC103">
        <v>46</v>
      </c>
      <c r="AD103">
        <v>259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">
      <c r="A104" s="1">
        <v>43743</v>
      </c>
      <c r="B104" s="1" t="str">
        <f>TEXT(flights_sample_3m[[#This Row],[FL_DATE]],"yyyy-mm")</f>
        <v>2019-10</v>
      </c>
      <c r="C104" t="s">
        <v>64</v>
      </c>
      <c r="D104" t="s">
        <v>65</v>
      </c>
      <c r="E104" t="s">
        <v>66</v>
      </c>
      <c r="F104">
        <v>19805</v>
      </c>
      <c r="G104">
        <v>1911</v>
      </c>
      <c r="H104" t="s">
        <v>231</v>
      </c>
      <c r="I104" t="s">
        <v>232</v>
      </c>
      <c r="J104" t="s">
        <v>123</v>
      </c>
      <c r="K104" t="s">
        <v>124</v>
      </c>
      <c r="L104">
        <v>635</v>
      </c>
      <c r="M104" s="2">
        <v>630</v>
      </c>
      <c r="N104">
        <v>-5</v>
      </c>
      <c r="O104" t="str">
        <f>IF(flights_sample_3m[[#This Row],[DEP_DELAY]]&lt;=15,"No delay",IF(flights_sample_3m[[#This Row],[DEP_DELAY]]&lt;=60,"Short Delay","Long Delay"))</f>
        <v>No delay</v>
      </c>
      <c r="P104" t="str">
        <f>IF(flights_sample_3m[[#This Row],[DEP_DELAY]]&lt;=15,"Delayed","On Time")</f>
        <v>Delayed</v>
      </c>
      <c r="Q104">
        <v>13</v>
      </c>
      <c r="R104">
        <v>643</v>
      </c>
      <c r="S104">
        <v>731</v>
      </c>
      <c r="T104">
        <v>8</v>
      </c>
      <c r="U104">
        <v>810</v>
      </c>
      <c r="V104" s="2">
        <v>739</v>
      </c>
      <c r="W104">
        <v>-31</v>
      </c>
      <c r="X104">
        <v>0</v>
      </c>
      <c r="Y104">
        <v>0</v>
      </c>
      <c r="Z104">
        <v>0</v>
      </c>
      <c r="AA104">
        <v>95</v>
      </c>
      <c r="AB104">
        <v>69</v>
      </c>
      <c r="AC104">
        <v>48</v>
      </c>
      <c r="AD104">
        <v>257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">
      <c r="A105" s="1">
        <v>44559</v>
      </c>
      <c r="B105" s="1" t="str">
        <f>TEXT(flights_sample_3m[[#This Row],[FL_DATE]],"yyyy-mm")</f>
        <v>2021-12</v>
      </c>
      <c r="C105" t="s">
        <v>39</v>
      </c>
      <c r="D105" t="s">
        <v>40</v>
      </c>
      <c r="E105" t="s">
        <v>41</v>
      </c>
      <c r="F105">
        <v>19790</v>
      </c>
      <c r="G105">
        <v>1277</v>
      </c>
      <c r="H105" t="s">
        <v>55</v>
      </c>
      <c r="I105" t="s">
        <v>56</v>
      </c>
      <c r="J105" t="s">
        <v>85</v>
      </c>
      <c r="K105" t="s">
        <v>86</v>
      </c>
      <c r="L105">
        <v>1233</v>
      </c>
      <c r="M105" s="2">
        <v>1305</v>
      </c>
      <c r="N105">
        <v>32</v>
      </c>
      <c r="O105" t="str">
        <f>IF(flights_sample_3m[[#This Row],[DEP_DELAY]]&lt;=15,"No delay",IF(flights_sample_3m[[#This Row],[DEP_DELAY]]&lt;=60,"Short Delay","Long Delay"))</f>
        <v>Short Delay</v>
      </c>
      <c r="P105" t="str">
        <f>IF(flights_sample_3m[[#This Row],[DEP_DELAY]]&lt;=15,"Delayed","On Time")</f>
        <v>On Time</v>
      </c>
      <c r="Q105">
        <v>13</v>
      </c>
      <c r="R105">
        <v>1318</v>
      </c>
      <c r="S105">
        <v>1548</v>
      </c>
      <c r="T105">
        <v>10</v>
      </c>
      <c r="U105">
        <v>1540</v>
      </c>
      <c r="V105" s="2">
        <v>1558</v>
      </c>
      <c r="W105">
        <v>18</v>
      </c>
      <c r="X105">
        <v>0</v>
      </c>
      <c r="Y105">
        <v>0</v>
      </c>
      <c r="Z105">
        <v>0</v>
      </c>
      <c r="AA105">
        <v>127</v>
      </c>
      <c r="AB105">
        <v>113</v>
      </c>
      <c r="AC105">
        <v>90</v>
      </c>
      <c r="AD105">
        <v>731</v>
      </c>
      <c r="AE105">
        <v>0</v>
      </c>
      <c r="AF105">
        <v>0</v>
      </c>
      <c r="AG105">
        <v>0</v>
      </c>
      <c r="AH105">
        <v>0</v>
      </c>
      <c r="AI105">
        <v>18</v>
      </c>
    </row>
    <row r="106" spans="1:35" x14ac:dyDescent="0.3">
      <c r="A106" s="1">
        <v>43623</v>
      </c>
      <c r="B106" s="1" t="str">
        <f>TEXT(flights_sample_3m[[#This Row],[FL_DATE]],"yyyy-mm")</f>
        <v>2019-06</v>
      </c>
      <c r="C106" t="s">
        <v>39</v>
      </c>
      <c r="D106" t="s">
        <v>40</v>
      </c>
      <c r="E106" t="s">
        <v>41</v>
      </c>
      <c r="F106">
        <v>19790</v>
      </c>
      <c r="G106">
        <v>833</v>
      </c>
      <c r="H106" t="s">
        <v>170</v>
      </c>
      <c r="I106" t="s">
        <v>171</v>
      </c>
      <c r="J106" t="s">
        <v>194</v>
      </c>
      <c r="K106" t="s">
        <v>195</v>
      </c>
      <c r="L106">
        <v>830</v>
      </c>
      <c r="M106" s="2">
        <v>826</v>
      </c>
      <c r="N106">
        <v>-4</v>
      </c>
      <c r="O106" t="str">
        <f>IF(flights_sample_3m[[#This Row],[DEP_DELAY]]&lt;=15,"No delay",IF(flights_sample_3m[[#This Row],[DEP_DELAY]]&lt;=60,"Short Delay","Long Delay"))</f>
        <v>No delay</v>
      </c>
      <c r="P106" t="str">
        <f>IF(flights_sample_3m[[#This Row],[DEP_DELAY]]&lt;=15,"Delayed","On Time")</f>
        <v>Delayed</v>
      </c>
      <c r="Q106">
        <v>14</v>
      </c>
      <c r="R106">
        <v>840</v>
      </c>
      <c r="S106">
        <v>939</v>
      </c>
      <c r="T106">
        <v>3</v>
      </c>
      <c r="U106">
        <v>1017</v>
      </c>
      <c r="V106" s="2">
        <v>942</v>
      </c>
      <c r="W106">
        <v>-35</v>
      </c>
      <c r="X106">
        <v>0</v>
      </c>
      <c r="Y106">
        <v>0</v>
      </c>
      <c r="Z106">
        <v>0</v>
      </c>
      <c r="AA106">
        <v>287</v>
      </c>
      <c r="AB106">
        <v>256</v>
      </c>
      <c r="AC106">
        <v>239</v>
      </c>
      <c r="AD106">
        <v>1956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">
      <c r="A107" s="1">
        <v>44848</v>
      </c>
      <c r="B107" s="1" t="str">
        <f>TEXT(flights_sample_3m[[#This Row],[FL_DATE]],"yyyy-mm")</f>
        <v>2022-10</v>
      </c>
      <c r="C107" t="s">
        <v>64</v>
      </c>
      <c r="D107" t="s">
        <v>65</v>
      </c>
      <c r="E107" t="s">
        <v>66</v>
      </c>
      <c r="F107">
        <v>19805</v>
      </c>
      <c r="G107">
        <v>1640</v>
      </c>
      <c r="H107" t="s">
        <v>106</v>
      </c>
      <c r="I107" t="s">
        <v>92</v>
      </c>
      <c r="J107" t="s">
        <v>78</v>
      </c>
      <c r="K107" t="s">
        <v>79</v>
      </c>
      <c r="L107">
        <v>1841</v>
      </c>
      <c r="M107" s="2">
        <v>1851</v>
      </c>
      <c r="N107">
        <v>10</v>
      </c>
      <c r="O107" t="str">
        <f>IF(flights_sample_3m[[#This Row],[DEP_DELAY]]&lt;=15,"No delay",IF(flights_sample_3m[[#This Row],[DEP_DELAY]]&lt;=60,"Short Delay","Long Delay"))</f>
        <v>No delay</v>
      </c>
      <c r="P107" t="str">
        <f>IF(flights_sample_3m[[#This Row],[DEP_DELAY]]&lt;=15,"Delayed","On Time")</f>
        <v>Delayed</v>
      </c>
      <c r="Q107">
        <v>19</v>
      </c>
      <c r="R107">
        <v>1910</v>
      </c>
      <c r="S107">
        <v>2100</v>
      </c>
      <c r="T107">
        <v>5</v>
      </c>
      <c r="U107">
        <v>2105</v>
      </c>
      <c r="V107" s="2">
        <v>2105</v>
      </c>
      <c r="W107">
        <v>0</v>
      </c>
      <c r="X107">
        <v>0</v>
      </c>
      <c r="Y107">
        <v>0</v>
      </c>
      <c r="Z107">
        <v>0</v>
      </c>
      <c r="AA107">
        <v>264</v>
      </c>
      <c r="AB107">
        <v>254</v>
      </c>
      <c r="AC107">
        <v>230</v>
      </c>
      <c r="AD107">
        <v>1744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">
      <c r="A108" s="1">
        <v>44892</v>
      </c>
      <c r="B108" s="1" t="str">
        <f>TEXT(flights_sample_3m[[#This Row],[FL_DATE]],"yyyy-mm")</f>
        <v>2022-11</v>
      </c>
      <c r="C108" t="s">
        <v>57</v>
      </c>
      <c r="D108" t="s">
        <v>58</v>
      </c>
      <c r="E108" t="s">
        <v>59</v>
      </c>
      <c r="F108">
        <v>19393</v>
      </c>
      <c r="G108">
        <v>518</v>
      </c>
      <c r="H108" t="s">
        <v>201</v>
      </c>
      <c r="I108" t="s">
        <v>202</v>
      </c>
      <c r="J108" t="s">
        <v>233</v>
      </c>
      <c r="K108" t="s">
        <v>234</v>
      </c>
      <c r="L108">
        <v>1555</v>
      </c>
      <c r="M108" s="2">
        <v>1558</v>
      </c>
      <c r="N108">
        <v>3</v>
      </c>
      <c r="O108" t="str">
        <f>IF(flights_sample_3m[[#This Row],[DEP_DELAY]]&lt;=15,"No delay",IF(flights_sample_3m[[#This Row],[DEP_DELAY]]&lt;=60,"Short Delay","Long Delay"))</f>
        <v>No delay</v>
      </c>
      <c r="P108" t="str">
        <f>IF(flights_sample_3m[[#This Row],[DEP_DELAY]]&lt;=15,"Delayed","On Time")</f>
        <v>Delayed</v>
      </c>
      <c r="Q108">
        <v>12</v>
      </c>
      <c r="R108">
        <v>1610</v>
      </c>
      <c r="S108">
        <v>1649</v>
      </c>
      <c r="T108">
        <v>5</v>
      </c>
      <c r="U108">
        <v>1655</v>
      </c>
      <c r="V108" s="2">
        <v>1654</v>
      </c>
      <c r="W108">
        <v>-1</v>
      </c>
      <c r="X108">
        <v>0</v>
      </c>
      <c r="Y108">
        <v>0</v>
      </c>
      <c r="Z108">
        <v>0</v>
      </c>
      <c r="AA108">
        <v>120</v>
      </c>
      <c r="AB108">
        <v>116</v>
      </c>
      <c r="AC108">
        <v>99</v>
      </c>
      <c r="AD108">
        <v>646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">
      <c r="A109" s="1">
        <v>43598</v>
      </c>
      <c r="B109" s="1" t="str">
        <f>TEXT(flights_sample_3m[[#This Row],[FL_DATE]],"yyyy-mm")</f>
        <v>2019-05</v>
      </c>
      <c r="C109" t="s">
        <v>39</v>
      </c>
      <c r="D109" t="s">
        <v>40</v>
      </c>
      <c r="E109" t="s">
        <v>41</v>
      </c>
      <c r="F109">
        <v>19790</v>
      </c>
      <c r="G109">
        <v>867</v>
      </c>
      <c r="H109" t="s">
        <v>235</v>
      </c>
      <c r="I109" t="s">
        <v>236</v>
      </c>
      <c r="J109" t="s">
        <v>85</v>
      </c>
      <c r="K109" t="s">
        <v>86</v>
      </c>
      <c r="L109">
        <v>525</v>
      </c>
      <c r="M109" s="2">
        <v>520</v>
      </c>
      <c r="N109">
        <v>-5</v>
      </c>
      <c r="O109" t="str">
        <f>IF(flights_sample_3m[[#This Row],[DEP_DELAY]]&lt;=15,"No delay",IF(flights_sample_3m[[#This Row],[DEP_DELAY]]&lt;=60,"Short Delay","Long Delay"))</f>
        <v>No delay</v>
      </c>
      <c r="P109" t="str">
        <f>IF(flights_sample_3m[[#This Row],[DEP_DELAY]]&lt;=15,"Delayed","On Time")</f>
        <v>Delayed</v>
      </c>
      <c r="Q109">
        <v>12</v>
      </c>
      <c r="R109">
        <v>532</v>
      </c>
      <c r="S109">
        <v>624</v>
      </c>
      <c r="T109">
        <v>7</v>
      </c>
      <c r="U109">
        <v>638</v>
      </c>
      <c r="V109" s="2">
        <v>631</v>
      </c>
      <c r="W109">
        <v>-7</v>
      </c>
      <c r="X109">
        <v>0</v>
      </c>
      <c r="Y109">
        <v>0</v>
      </c>
      <c r="Z109">
        <v>0</v>
      </c>
      <c r="AA109">
        <v>73</v>
      </c>
      <c r="AB109">
        <v>71</v>
      </c>
      <c r="AC109">
        <v>52</v>
      </c>
      <c r="AD109">
        <v>306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">
      <c r="A110" s="1">
        <v>44221</v>
      </c>
      <c r="B110" s="1" t="str">
        <f>TEXT(flights_sample_3m[[#This Row],[FL_DATE]],"yyyy-mm")</f>
        <v>2021-01</v>
      </c>
      <c r="C110" t="s">
        <v>167</v>
      </c>
      <c r="D110" t="s">
        <v>168</v>
      </c>
      <c r="E110" t="s">
        <v>169</v>
      </c>
      <c r="F110">
        <v>20363</v>
      </c>
      <c r="G110">
        <v>4777</v>
      </c>
      <c r="H110" t="s">
        <v>85</v>
      </c>
      <c r="I110" t="s">
        <v>86</v>
      </c>
      <c r="J110" t="s">
        <v>237</v>
      </c>
      <c r="K110" t="s">
        <v>238</v>
      </c>
      <c r="L110">
        <v>1353</v>
      </c>
      <c r="M110" s="2">
        <v>1349</v>
      </c>
      <c r="N110">
        <v>-4</v>
      </c>
      <c r="O110" t="str">
        <f>IF(flights_sample_3m[[#This Row],[DEP_DELAY]]&lt;=15,"No delay",IF(flights_sample_3m[[#This Row],[DEP_DELAY]]&lt;=60,"Short Delay","Long Delay"))</f>
        <v>No delay</v>
      </c>
      <c r="P110" t="str">
        <f>IF(flights_sample_3m[[#This Row],[DEP_DELAY]]&lt;=15,"Delayed","On Time")</f>
        <v>Delayed</v>
      </c>
      <c r="Q110">
        <v>11</v>
      </c>
      <c r="R110">
        <v>1400</v>
      </c>
      <c r="S110">
        <v>1333</v>
      </c>
      <c r="T110">
        <v>3</v>
      </c>
      <c r="U110">
        <v>1346</v>
      </c>
      <c r="V110" s="2">
        <v>1336</v>
      </c>
      <c r="W110">
        <v>-10</v>
      </c>
      <c r="X110">
        <v>0</v>
      </c>
      <c r="Y110">
        <v>0</v>
      </c>
      <c r="Z110">
        <v>0</v>
      </c>
      <c r="AA110">
        <v>53</v>
      </c>
      <c r="AB110">
        <v>47</v>
      </c>
      <c r="AC110">
        <v>33</v>
      </c>
      <c r="AD110">
        <v>134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">
      <c r="A111" s="1">
        <v>43716</v>
      </c>
      <c r="B111" s="1" t="str">
        <f>TEXT(flights_sample_3m[[#This Row],[FL_DATE]],"yyyy-mm")</f>
        <v>2019-09</v>
      </c>
      <c r="C111" t="s">
        <v>148</v>
      </c>
      <c r="D111" t="s">
        <v>149</v>
      </c>
      <c r="E111" t="s">
        <v>150</v>
      </c>
      <c r="F111">
        <v>20304</v>
      </c>
      <c r="G111">
        <v>3351</v>
      </c>
      <c r="H111" t="s">
        <v>153</v>
      </c>
      <c r="I111" t="s">
        <v>154</v>
      </c>
      <c r="J111" t="s">
        <v>239</v>
      </c>
      <c r="K111" t="s">
        <v>240</v>
      </c>
      <c r="L111">
        <v>1515</v>
      </c>
      <c r="M111" s="2">
        <v>1500</v>
      </c>
      <c r="N111">
        <v>-15</v>
      </c>
      <c r="O111" t="str">
        <f>IF(flights_sample_3m[[#This Row],[DEP_DELAY]]&lt;=15,"No delay",IF(flights_sample_3m[[#This Row],[DEP_DELAY]]&lt;=60,"Short Delay","Long Delay"))</f>
        <v>No delay</v>
      </c>
      <c r="P111" t="str">
        <f>IF(flights_sample_3m[[#This Row],[DEP_DELAY]]&lt;=15,"Delayed","On Time")</f>
        <v>Delayed</v>
      </c>
      <c r="Q111">
        <v>33</v>
      </c>
      <c r="R111">
        <v>1533</v>
      </c>
      <c r="S111">
        <v>1703</v>
      </c>
      <c r="T111">
        <v>7</v>
      </c>
      <c r="U111">
        <v>1710</v>
      </c>
      <c r="V111" s="2">
        <v>1710</v>
      </c>
      <c r="W111">
        <v>0</v>
      </c>
      <c r="X111">
        <v>0</v>
      </c>
      <c r="Y111">
        <v>0</v>
      </c>
      <c r="Z111">
        <v>0</v>
      </c>
      <c r="AA111">
        <v>235</v>
      </c>
      <c r="AB111">
        <v>250</v>
      </c>
      <c r="AC111">
        <v>210</v>
      </c>
      <c r="AD111">
        <v>1482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 s="1">
        <v>45143</v>
      </c>
      <c r="B112" s="1" t="str">
        <f>TEXT(flights_sample_3m[[#This Row],[FL_DATE]],"yyyy-mm")</f>
        <v>2023-08</v>
      </c>
      <c r="C112" t="s">
        <v>107</v>
      </c>
      <c r="D112" t="s">
        <v>108</v>
      </c>
      <c r="E112" t="s">
        <v>109</v>
      </c>
      <c r="F112">
        <v>20409</v>
      </c>
      <c r="G112">
        <v>895</v>
      </c>
      <c r="H112" t="s">
        <v>37</v>
      </c>
      <c r="I112" t="s">
        <v>38</v>
      </c>
      <c r="J112" t="s">
        <v>53</v>
      </c>
      <c r="K112" t="s">
        <v>54</v>
      </c>
      <c r="L112">
        <v>1052</v>
      </c>
      <c r="M112" s="2">
        <v>1046</v>
      </c>
      <c r="N112">
        <v>-6</v>
      </c>
      <c r="O112" t="str">
        <f>IF(flights_sample_3m[[#This Row],[DEP_DELAY]]&lt;=15,"No delay",IF(flights_sample_3m[[#This Row],[DEP_DELAY]]&lt;=60,"Short Delay","Long Delay"))</f>
        <v>No delay</v>
      </c>
      <c r="P112" t="str">
        <f>IF(flights_sample_3m[[#This Row],[DEP_DELAY]]&lt;=15,"Delayed","On Time")</f>
        <v>Delayed</v>
      </c>
      <c r="Q112">
        <v>16</v>
      </c>
      <c r="R112">
        <v>1102</v>
      </c>
      <c r="S112">
        <v>1306</v>
      </c>
      <c r="T112">
        <v>12</v>
      </c>
      <c r="U112">
        <v>1350</v>
      </c>
      <c r="V112" s="2">
        <v>1318</v>
      </c>
      <c r="W112">
        <v>-32</v>
      </c>
      <c r="X112">
        <v>0</v>
      </c>
      <c r="Y112">
        <v>0</v>
      </c>
      <c r="Z112">
        <v>0</v>
      </c>
      <c r="AA112">
        <v>178</v>
      </c>
      <c r="AB112">
        <v>152</v>
      </c>
      <c r="AC112">
        <v>124</v>
      </c>
      <c r="AD112">
        <v>937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">
      <c r="A113" s="1">
        <v>44844</v>
      </c>
      <c r="B113" s="1" t="str">
        <f>TEXT(flights_sample_3m[[#This Row],[FL_DATE]],"yyyy-mm")</f>
        <v>2022-10</v>
      </c>
      <c r="C113" t="s">
        <v>64</v>
      </c>
      <c r="D113" t="s">
        <v>65</v>
      </c>
      <c r="E113" t="s">
        <v>66</v>
      </c>
      <c r="F113">
        <v>19805</v>
      </c>
      <c r="G113">
        <v>1979</v>
      </c>
      <c r="H113" t="s">
        <v>205</v>
      </c>
      <c r="I113" t="s">
        <v>206</v>
      </c>
      <c r="J113" t="s">
        <v>53</v>
      </c>
      <c r="K113" t="s">
        <v>54</v>
      </c>
      <c r="L113">
        <v>700</v>
      </c>
      <c r="M113" s="2">
        <v>657</v>
      </c>
      <c r="N113">
        <v>-3</v>
      </c>
      <c r="O113" t="str">
        <f>IF(flights_sample_3m[[#This Row],[DEP_DELAY]]&lt;=15,"No delay",IF(flights_sample_3m[[#This Row],[DEP_DELAY]]&lt;=60,"Short Delay","Long Delay"))</f>
        <v>No delay</v>
      </c>
      <c r="P113" t="str">
        <f>IF(flights_sample_3m[[#This Row],[DEP_DELAY]]&lt;=15,"Delayed","On Time")</f>
        <v>Delayed</v>
      </c>
      <c r="Q113">
        <v>16</v>
      </c>
      <c r="R113">
        <v>713</v>
      </c>
      <c r="S113">
        <v>917</v>
      </c>
      <c r="T113">
        <v>7</v>
      </c>
      <c r="U113">
        <v>935</v>
      </c>
      <c r="V113" s="2">
        <v>924</v>
      </c>
      <c r="W113">
        <v>-11</v>
      </c>
      <c r="X113">
        <v>0</v>
      </c>
      <c r="Y113">
        <v>0</v>
      </c>
      <c r="Z113">
        <v>0</v>
      </c>
      <c r="AA113">
        <v>155</v>
      </c>
      <c r="AB113">
        <v>147</v>
      </c>
      <c r="AC113">
        <v>124</v>
      </c>
      <c r="AD113">
        <v>861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">
      <c r="A114" s="1">
        <v>43967</v>
      </c>
      <c r="B114" s="1" t="str">
        <f>TEXT(flights_sample_3m[[#This Row],[FL_DATE]],"yyyy-mm")</f>
        <v>2020-05</v>
      </c>
      <c r="C114" t="s">
        <v>32</v>
      </c>
      <c r="D114" t="s">
        <v>33</v>
      </c>
      <c r="E114" t="s">
        <v>34</v>
      </c>
      <c r="F114">
        <v>19977</v>
      </c>
      <c r="G114">
        <v>1671</v>
      </c>
      <c r="H114" t="s">
        <v>78</v>
      </c>
      <c r="I114" t="s">
        <v>79</v>
      </c>
      <c r="J114" t="s">
        <v>37</v>
      </c>
      <c r="K114" t="s">
        <v>38</v>
      </c>
      <c r="L114">
        <v>1315</v>
      </c>
      <c r="M114" s="2">
        <v>1311</v>
      </c>
      <c r="N114">
        <v>-4</v>
      </c>
      <c r="O114" t="str">
        <f>IF(flights_sample_3m[[#This Row],[DEP_DELAY]]&lt;=15,"No delay",IF(flights_sample_3m[[#This Row],[DEP_DELAY]]&lt;=60,"Short Delay","Long Delay"))</f>
        <v>No delay</v>
      </c>
      <c r="P114" t="str">
        <f>IF(flights_sample_3m[[#This Row],[DEP_DELAY]]&lt;=15,"Delayed","On Time")</f>
        <v>Delayed</v>
      </c>
      <c r="Q114">
        <v>13</v>
      </c>
      <c r="R114">
        <v>1324</v>
      </c>
      <c r="S114">
        <v>2057</v>
      </c>
      <c r="T114">
        <v>6</v>
      </c>
      <c r="U114">
        <v>2134</v>
      </c>
      <c r="V114" s="2">
        <v>2103</v>
      </c>
      <c r="W114">
        <v>-31</v>
      </c>
      <c r="X114">
        <v>0</v>
      </c>
      <c r="Y114">
        <v>0</v>
      </c>
      <c r="Z114">
        <v>0</v>
      </c>
      <c r="AA114">
        <v>319</v>
      </c>
      <c r="AB114">
        <v>292</v>
      </c>
      <c r="AC114">
        <v>273</v>
      </c>
      <c r="AD114">
        <v>2454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">
      <c r="A115" s="1">
        <v>44874</v>
      </c>
      <c r="B115" s="1" t="str">
        <f>TEXT(flights_sample_3m[[#This Row],[FL_DATE]],"yyyy-mm")</f>
        <v>2022-11</v>
      </c>
      <c r="C115" t="s">
        <v>57</v>
      </c>
      <c r="D115" t="s">
        <v>58</v>
      </c>
      <c r="E115" t="s">
        <v>59</v>
      </c>
      <c r="F115">
        <v>19393</v>
      </c>
      <c r="G115">
        <v>2731</v>
      </c>
      <c r="H115" t="s">
        <v>203</v>
      </c>
      <c r="I115" t="s">
        <v>204</v>
      </c>
      <c r="J115" t="s">
        <v>60</v>
      </c>
      <c r="K115" t="s">
        <v>61</v>
      </c>
      <c r="L115">
        <v>1255</v>
      </c>
      <c r="M115" s="2">
        <v>1254</v>
      </c>
      <c r="N115">
        <v>-1</v>
      </c>
      <c r="O115" t="str">
        <f>IF(flights_sample_3m[[#This Row],[DEP_DELAY]]&lt;=15,"No delay",IF(flights_sample_3m[[#This Row],[DEP_DELAY]]&lt;=60,"Short Delay","Long Delay"))</f>
        <v>No delay</v>
      </c>
      <c r="P115" t="str">
        <f>IF(flights_sample_3m[[#This Row],[DEP_DELAY]]&lt;=15,"Delayed","On Time")</f>
        <v>Delayed</v>
      </c>
      <c r="Q115">
        <v>15</v>
      </c>
      <c r="R115">
        <v>1309</v>
      </c>
      <c r="S115">
        <v>1532</v>
      </c>
      <c r="T115">
        <v>4</v>
      </c>
      <c r="U115">
        <v>1535</v>
      </c>
      <c r="V115" s="2">
        <v>1536</v>
      </c>
      <c r="W115">
        <v>1</v>
      </c>
      <c r="X115">
        <v>0</v>
      </c>
      <c r="Y115">
        <v>0</v>
      </c>
      <c r="Z115">
        <v>0</v>
      </c>
      <c r="AA115">
        <v>100</v>
      </c>
      <c r="AB115">
        <v>102</v>
      </c>
      <c r="AC115">
        <v>83</v>
      </c>
      <c r="AD115">
        <v>562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">
      <c r="A116" s="1">
        <v>43693</v>
      </c>
      <c r="B116" s="1" t="str">
        <f>TEXT(flights_sample_3m[[#This Row],[FL_DATE]],"yyyy-mm")</f>
        <v>2019-08</v>
      </c>
      <c r="C116" t="s">
        <v>64</v>
      </c>
      <c r="D116" t="s">
        <v>65</v>
      </c>
      <c r="E116" t="s">
        <v>66</v>
      </c>
      <c r="F116">
        <v>19805</v>
      </c>
      <c r="G116">
        <v>2248</v>
      </c>
      <c r="H116" t="s">
        <v>55</v>
      </c>
      <c r="I116" t="s">
        <v>56</v>
      </c>
      <c r="J116" t="s">
        <v>48</v>
      </c>
      <c r="K116" t="s">
        <v>49</v>
      </c>
      <c r="L116">
        <v>1054</v>
      </c>
      <c r="M116" s="2">
        <v>1048</v>
      </c>
      <c r="N116">
        <v>-6</v>
      </c>
      <c r="O116" t="str">
        <f>IF(flights_sample_3m[[#This Row],[DEP_DELAY]]&lt;=15,"No delay",IF(flights_sample_3m[[#This Row],[DEP_DELAY]]&lt;=60,"Short Delay","Long Delay"))</f>
        <v>No delay</v>
      </c>
      <c r="P116" t="str">
        <f>IF(flights_sample_3m[[#This Row],[DEP_DELAY]]&lt;=15,"Delayed","On Time")</f>
        <v>Delayed</v>
      </c>
      <c r="Q116">
        <v>34</v>
      </c>
      <c r="R116">
        <v>1122</v>
      </c>
      <c r="S116">
        <v>1241</v>
      </c>
      <c r="T116">
        <v>7</v>
      </c>
      <c r="U116">
        <v>1247</v>
      </c>
      <c r="V116" s="2">
        <v>1248</v>
      </c>
      <c r="W116">
        <v>1</v>
      </c>
      <c r="X116">
        <v>0</v>
      </c>
      <c r="Y116">
        <v>0</v>
      </c>
      <c r="Z116">
        <v>0</v>
      </c>
      <c r="AA116">
        <v>233</v>
      </c>
      <c r="AB116">
        <v>240</v>
      </c>
      <c r="AC116">
        <v>199</v>
      </c>
      <c r="AD116">
        <v>1464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">
      <c r="A117" s="1">
        <v>44956</v>
      </c>
      <c r="B117" s="1" t="str">
        <f>TEXT(flights_sample_3m[[#This Row],[FL_DATE]],"yyyy-mm")</f>
        <v>2023-01</v>
      </c>
      <c r="C117" t="s">
        <v>50</v>
      </c>
      <c r="D117" t="s">
        <v>51</v>
      </c>
      <c r="E117" t="s">
        <v>52</v>
      </c>
      <c r="F117">
        <v>20416</v>
      </c>
      <c r="G117">
        <v>867</v>
      </c>
      <c r="H117" t="s">
        <v>55</v>
      </c>
      <c r="I117" t="s">
        <v>56</v>
      </c>
      <c r="J117" t="s">
        <v>78</v>
      </c>
      <c r="K117" t="s">
        <v>79</v>
      </c>
      <c r="L117">
        <v>1640</v>
      </c>
      <c r="M117" s="2">
        <v>2023</v>
      </c>
      <c r="N117">
        <v>223</v>
      </c>
      <c r="O117" t="str">
        <f>IF(flights_sample_3m[[#This Row],[DEP_DELAY]]&lt;=15,"No delay",IF(flights_sample_3m[[#This Row],[DEP_DELAY]]&lt;=60,"Short Delay","Long Delay"))</f>
        <v>Long Delay</v>
      </c>
      <c r="P117" t="str">
        <f>IF(flights_sample_3m[[#This Row],[DEP_DELAY]]&lt;=15,"Delayed","On Time")</f>
        <v>On Time</v>
      </c>
      <c r="Q117">
        <v>82</v>
      </c>
      <c r="R117">
        <v>2145</v>
      </c>
      <c r="S117">
        <v>2241</v>
      </c>
      <c r="T117">
        <v>7</v>
      </c>
      <c r="U117">
        <v>1808</v>
      </c>
      <c r="V117" s="2">
        <v>2248</v>
      </c>
      <c r="W117">
        <v>280</v>
      </c>
      <c r="X117">
        <v>0</v>
      </c>
      <c r="Y117">
        <v>0</v>
      </c>
      <c r="Z117">
        <v>0</v>
      </c>
      <c r="AA117">
        <v>208</v>
      </c>
      <c r="AB117">
        <v>265</v>
      </c>
      <c r="AC117">
        <v>176</v>
      </c>
      <c r="AD117">
        <v>1235</v>
      </c>
      <c r="AE117">
        <v>0</v>
      </c>
      <c r="AF117">
        <v>8</v>
      </c>
      <c r="AG117">
        <v>57</v>
      </c>
      <c r="AH117">
        <v>0</v>
      </c>
      <c r="AI117">
        <v>215</v>
      </c>
    </row>
    <row r="118" spans="1:35" x14ac:dyDescent="0.3">
      <c r="A118" s="1">
        <v>43739</v>
      </c>
      <c r="B118" s="1" t="str">
        <f>TEXT(flights_sample_3m[[#This Row],[FL_DATE]],"yyyy-mm")</f>
        <v>2019-10</v>
      </c>
      <c r="C118" t="s">
        <v>148</v>
      </c>
      <c r="D118" t="s">
        <v>149</v>
      </c>
      <c r="E118" t="s">
        <v>150</v>
      </c>
      <c r="F118">
        <v>20304</v>
      </c>
      <c r="G118">
        <v>5407</v>
      </c>
      <c r="H118" t="s">
        <v>78</v>
      </c>
      <c r="I118" t="s">
        <v>79</v>
      </c>
      <c r="J118" t="s">
        <v>241</v>
      </c>
      <c r="K118" t="s">
        <v>242</v>
      </c>
      <c r="L118">
        <v>1855</v>
      </c>
      <c r="M118" s="2">
        <v>1844</v>
      </c>
      <c r="N118">
        <v>-11</v>
      </c>
      <c r="O118" t="str">
        <f>IF(flights_sample_3m[[#This Row],[DEP_DELAY]]&lt;=15,"No delay",IF(flights_sample_3m[[#This Row],[DEP_DELAY]]&lt;=60,"Short Delay","Long Delay"))</f>
        <v>No delay</v>
      </c>
      <c r="P118" t="str">
        <f>IF(flights_sample_3m[[#This Row],[DEP_DELAY]]&lt;=15,"Delayed","On Time")</f>
        <v>Delayed</v>
      </c>
      <c r="Q118">
        <v>14</v>
      </c>
      <c r="R118">
        <v>1858</v>
      </c>
      <c r="S118">
        <v>2036</v>
      </c>
      <c r="T118">
        <v>5</v>
      </c>
      <c r="U118">
        <v>2058</v>
      </c>
      <c r="V118" s="2">
        <v>2041</v>
      </c>
      <c r="W118">
        <v>-17</v>
      </c>
      <c r="X118">
        <v>0</v>
      </c>
      <c r="Y118">
        <v>0</v>
      </c>
      <c r="Z118">
        <v>0</v>
      </c>
      <c r="AA118">
        <v>123</v>
      </c>
      <c r="AB118">
        <v>117</v>
      </c>
      <c r="AC118">
        <v>98</v>
      </c>
      <c r="AD118">
        <v>630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">
      <c r="A119" s="1">
        <v>44181</v>
      </c>
      <c r="B119" s="1" t="str">
        <f>TEXT(flights_sample_3m[[#This Row],[FL_DATE]],"yyyy-mm")</f>
        <v>2020-12</v>
      </c>
      <c r="C119" t="s">
        <v>57</v>
      </c>
      <c r="D119" t="s">
        <v>58</v>
      </c>
      <c r="E119" t="s">
        <v>59</v>
      </c>
      <c r="F119">
        <v>19393</v>
      </c>
      <c r="G119">
        <v>2773</v>
      </c>
      <c r="H119" t="s">
        <v>93</v>
      </c>
      <c r="I119" t="s">
        <v>94</v>
      </c>
      <c r="J119" t="s">
        <v>46</v>
      </c>
      <c r="K119" t="s">
        <v>47</v>
      </c>
      <c r="L119">
        <v>1100</v>
      </c>
      <c r="M119" s="2">
        <v>1107</v>
      </c>
      <c r="N119">
        <v>7</v>
      </c>
      <c r="O119" t="str">
        <f>IF(flights_sample_3m[[#This Row],[DEP_DELAY]]&lt;=15,"No delay",IF(flights_sample_3m[[#This Row],[DEP_DELAY]]&lt;=60,"Short Delay","Long Delay"))</f>
        <v>No delay</v>
      </c>
      <c r="P119" t="str">
        <f>IF(flights_sample_3m[[#This Row],[DEP_DELAY]]&lt;=15,"Delayed","On Time")</f>
        <v>Delayed</v>
      </c>
      <c r="Q119">
        <v>15</v>
      </c>
      <c r="R119">
        <v>1122</v>
      </c>
      <c r="S119">
        <v>1247</v>
      </c>
      <c r="T119">
        <v>6</v>
      </c>
      <c r="U119">
        <v>1255</v>
      </c>
      <c r="V119" s="2">
        <v>1253</v>
      </c>
      <c r="W119">
        <v>-2</v>
      </c>
      <c r="X119">
        <v>0</v>
      </c>
      <c r="Y119">
        <v>0</v>
      </c>
      <c r="Z119">
        <v>0</v>
      </c>
      <c r="AA119">
        <v>175</v>
      </c>
      <c r="AB119">
        <v>166</v>
      </c>
      <c r="AC119">
        <v>145</v>
      </c>
      <c r="AD119">
        <v>1014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">
      <c r="A120" s="1">
        <v>45065</v>
      </c>
      <c r="B120" s="1" t="str">
        <f>TEXT(flights_sample_3m[[#This Row],[FL_DATE]],"yyyy-mm")</f>
        <v>2023-05</v>
      </c>
      <c r="C120" t="s">
        <v>39</v>
      </c>
      <c r="D120" t="s">
        <v>40</v>
      </c>
      <c r="E120" t="s">
        <v>41</v>
      </c>
      <c r="F120">
        <v>19790</v>
      </c>
      <c r="G120">
        <v>976</v>
      </c>
      <c r="H120" t="s">
        <v>46</v>
      </c>
      <c r="I120" t="s">
        <v>47</v>
      </c>
      <c r="J120" t="s">
        <v>85</v>
      </c>
      <c r="K120" t="s">
        <v>86</v>
      </c>
      <c r="L120">
        <v>59</v>
      </c>
      <c r="M120" s="2">
        <v>55</v>
      </c>
      <c r="N120">
        <v>-4</v>
      </c>
      <c r="O120" t="str">
        <f>IF(flights_sample_3m[[#This Row],[DEP_DELAY]]&lt;=15,"No delay",IF(flights_sample_3m[[#This Row],[DEP_DELAY]]&lt;=60,"Short Delay","Long Delay"))</f>
        <v>No delay</v>
      </c>
      <c r="P120" t="str">
        <f>IF(flights_sample_3m[[#This Row],[DEP_DELAY]]&lt;=15,"Delayed","On Time")</f>
        <v>Delayed</v>
      </c>
      <c r="Q120">
        <v>9</v>
      </c>
      <c r="R120">
        <v>104</v>
      </c>
      <c r="S120">
        <v>529</v>
      </c>
      <c r="T120">
        <v>7</v>
      </c>
      <c r="U120">
        <v>551</v>
      </c>
      <c r="V120" s="2">
        <v>536</v>
      </c>
      <c r="W120">
        <v>-15</v>
      </c>
      <c r="X120">
        <v>0</v>
      </c>
      <c r="Y120">
        <v>0</v>
      </c>
      <c r="Z120">
        <v>0</v>
      </c>
      <c r="AA120">
        <v>172</v>
      </c>
      <c r="AB120">
        <v>161</v>
      </c>
      <c r="AC120">
        <v>145</v>
      </c>
      <c r="AD120">
        <v>1199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">
      <c r="A121" s="1">
        <v>44566</v>
      </c>
      <c r="B121" s="1" t="str">
        <f>TEXT(flights_sample_3m[[#This Row],[FL_DATE]],"yyyy-mm")</f>
        <v>2022-01</v>
      </c>
      <c r="C121" t="s">
        <v>39</v>
      </c>
      <c r="D121" t="s">
        <v>40</v>
      </c>
      <c r="E121" t="s">
        <v>41</v>
      </c>
      <c r="F121">
        <v>19790</v>
      </c>
      <c r="G121">
        <v>2273</v>
      </c>
      <c r="H121" t="s">
        <v>42</v>
      </c>
      <c r="I121" t="s">
        <v>43</v>
      </c>
      <c r="J121" t="s">
        <v>89</v>
      </c>
      <c r="K121" t="s">
        <v>90</v>
      </c>
      <c r="L121">
        <v>1940</v>
      </c>
      <c r="M121" s="2">
        <v>1959</v>
      </c>
      <c r="N121">
        <v>19</v>
      </c>
      <c r="O121" t="str">
        <f>IF(flights_sample_3m[[#This Row],[DEP_DELAY]]&lt;=15,"No delay",IF(flights_sample_3m[[#This Row],[DEP_DELAY]]&lt;=60,"Short Delay","Long Delay"))</f>
        <v>Short Delay</v>
      </c>
      <c r="P121" t="str">
        <f>IF(flights_sample_3m[[#This Row],[DEP_DELAY]]&lt;=15,"Delayed","On Time")</f>
        <v>On Time</v>
      </c>
      <c r="Q121">
        <v>48</v>
      </c>
      <c r="R121">
        <v>2047</v>
      </c>
      <c r="S121">
        <v>2345</v>
      </c>
      <c r="T121">
        <v>7</v>
      </c>
      <c r="U121">
        <v>2322</v>
      </c>
      <c r="V121" s="2">
        <v>2352</v>
      </c>
      <c r="W121">
        <v>30</v>
      </c>
      <c r="X121">
        <v>0</v>
      </c>
      <c r="Y121">
        <v>0</v>
      </c>
      <c r="Z121">
        <v>0</v>
      </c>
      <c r="AA121">
        <v>162</v>
      </c>
      <c r="AB121">
        <v>173</v>
      </c>
      <c r="AC121">
        <v>118</v>
      </c>
      <c r="AD121">
        <v>980</v>
      </c>
      <c r="AE121">
        <v>0</v>
      </c>
      <c r="AF121">
        <v>0</v>
      </c>
      <c r="AG121">
        <v>11</v>
      </c>
      <c r="AH121">
        <v>0</v>
      </c>
      <c r="AI121">
        <v>19</v>
      </c>
    </row>
    <row r="122" spans="1:35" x14ac:dyDescent="0.3">
      <c r="A122" s="1">
        <v>44632</v>
      </c>
      <c r="B122" s="1" t="str">
        <f>TEXT(flights_sample_3m[[#This Row],[FL_DATE]],"yyyy-mm")</f>
        <v>2022-03</v>
      </c>
      <c r="C122" t="s">
        <v>64</v>
      </c>
      <c r="D122" t="s">
        <v>65</v>
      </c>
      <c r="E122" t="s">
        <v>66</v>
      </c>
      <c r="F122">
        <v>19805</v>
      </c>
      <c r="G122">
        <v>4</v>
      </c>
      <c r="H122" t="s">
        <v>78</v>
      </c>
      <c r="I122" t="s">
        <v>79</v>
      </c>
      <c r="J122" t="s">
        <v>110</v>
      </c>
      <c r="K122" t="s">
        <v>111</v>
      </c>
      <c r="L122">
        <v>600</v>
      </c>
      <c r="M122" s="2">
        <v>556</v>
      </c>
      <c r="N122">
        <v>-4</v>
      </c>
      <c r="O122" t="str">
        <f>IF(flights_sample_3m[[#This Row],[DEP_DELAY]]&lt;=15,"No delay",IF(flights_sample_3m[[#This Row],[DEP_DELAY]]&lt;=60,"Short Delay","Long Delay"))</f>
        <v>No delay</v>
      </c>
      <c r="P122" t="str">
        <f>IF(flights_sample_3m[[#This Row],[DEP_DELAY]]&lt;=15,"Delayed","On Time")</f>
        <v>Delayed</v>
      </c>
      <c r="Q122">
        <v>20</v>
      </c>
      <c r="R122">
        <v>616</v>
      </c>
      <c r="S122">
        <v>1425</v>
      </c>
      <c r="T122">
        <v>13</v>
      </c>
      <c r="U122">
        <v>1420</v>
      </c>
      <c r="V122" s="2">
        <v>1438</v>
      </c>
      <c r="W122">
        <v>18</v>
      </c>
      <c r="X122">
        <v>0</v>
      </c>
      <c r="Y122">
        <v>0</v>
      </c>
      <c r="Z122">
        <v>0</v>
      </c>
      <c r="AA122">
        <v>320</v>
      </c>
      <c r="AB122">
        <v>342</v>
      </c>
      <c r="AC122">
        <v>309</v>
      </c>
      <c r="AD122">
        <v>2475</v>
      </c>
      <c r="AE122">
        <v>0</v>
      </c>
      <c r="AF122">
        <v>0</v>
      </c>
      <c r="AG122">
        <v>18</v>
      </c>
      <c r="AH122">
        <v>0</v>
      </c>
      <c r="AI122">
        <v>0</v>
      </c>
    </row>
    <row r="123" spans="1:35" x14ac:dyDescent="0.3">
      <c r="A123" s="1">
        <v>44060</v>
      </c>
      <c r="B123" s="1" t="str">
        <f>TEXT(flights_sample_3m[[#This Row],[FL_DATE]],"yyyy-mm")</f>
        <v>2020-08</v>
      </c>
      <c r="C123" t="s">
        <v>71</v>
      </c>
      <c r="D123" t="s">
        <v>72</v>
      </c>
      <c r="E123" t="s">
        <v>73</v>
      </c>
      <c r="F123">
        <v>20452</v>
      </c>
      <c r="G123">
        <v>5631</v>
      </c>
      <c r="H123" t="s">
        <v>243</v>
      </c>
      <c r="I123" t="s">
        <v>244</v>
      </c>
      <c r="J123" t="s">
        <v>170</v>
      </c>
      <c r="K123" t="s">
        <v>171</v>
      </c>
      <c r="L123">
        <v>1803</v>
      </c>
      <c r="M123" s="2">
        <v>1801</v>
      </c>
      <c r="N123">
        <v>-2</v>
      </c>
      <c r="O123" t="str">
        <f>IF(flights_sample_3m[[#This Row],[DEP_DELAY]]&lt;=15,"No delay",IF(flights_sample_3m[[#This Row],[DEP_DELAY]]&lt;=60,"Short Delay","Long Delay"))</f>
        <v>No delay</v>
      </c>
      <c r="P123" t="str">
        <f>IF(flights_sample_3m[[#This Row],[DEP_DELAY]]&lt;=15,"Delayed","On Time")</f>
        <v>Delayed</v>
      </c>
      <c r="Q123">
        <v>8</v>
      </c>
      <c r="R123">
        <v>1809</v>
      </c>
      <c r="S123">
        <v>1901</v>
      </c>
      <c r="T123">
        <v>13</v>
      </c>
      <c r="U123">
        <v>1928</v>
      </c>
      <c r="V123" s="2">
        <v>1914</v>
      </c>
      <c r="W123">
        <v>-14</v>
      </c>
      <c r="X123">
        <v>0</v>
      </c>
      <c r="Y123">
        <v>0</v>
      </c>
      <c r="Z123">
        <v>0</v>
      </c>
      <c r="AA123">
        <v>85</v>
      </c>
      <c r="AB123">
        <v>73</v>
      </c>
      <c r="AC123">
        <v>52</v>
      </c>
      <c r="AD123">
        <v>306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">
      <c r="A124" s="1">
        <v>44484</v>
      </c>
      <c r="B124" s="1" t="str">
        <f>TEXT(flights_sample_3m[[#This Row],[FL_DATE]],"yyyy-mm")</f>
        <v>2021-10</v>
      </c>
      <c r="C124" t="s">
        <v>182</v>
      </c>
      <c r="D124" t="s">
        <v>183</v>
      </c>
      <c r="E124" t="s">
        <v>184</v>
      </c>
      <c r="F124">
        <v>20398</v>
      </c>
      <c r="G124">
        <v>4264</v>
      </c>
      <c r="H124" t="s">
        <v>89</v>
      </c>
      <c r="I124" t="s">
        <v>90</v>
      </c>
      <c r="J124" t="s">
        <v>106</v>
      </c>
      <c r="K124" t="s">
        <v>92</v>
      </c>
      <c r="L124">
        <v>1652</v>
      </c>
      <c r="M124" s="2">
        <v>1646</v>
      </c>
      <c r="N124">
        <v>-6</v>
      </c>
      <c r="O124" t="str">
        <f>IF(flights_sample_3m[[#This Row],[DEP_DELAY]]&lt;=15,"No delay",IF(flights_sample_3m[[#This Row],[DEP_DELAY]]&lt;=60,"Short Delay","Long Delay"))</f>
        <v>No delay</v>
      </c>
      <c r="P124" t="str">
        <f>IF(flights_sample_3m[[#This Row],[DEP_DELAY]]&lt;=15,"Delayed","On Time")</f>
        <v>Delayed</v>
      </c>
      <c r="Q124">
        <v>11</v>
      </c>
      <c r="R124">
        <v>1657</v>
      </c>
      <c r="S124">
        <v>1741</v>
      </c>
      <c r="T124">
        <v>8</v>
      </c>
      <c r="U124">
        <v>1819</v>
      </c>
      <c r="V124" s="2">
        <v>1749</v>
      </c>
      <c r="W124">
        <v>-30</v>
      </c>
      <c r="X124">
        <v>0</v>
      </c>
      <c r="Y124">
        <v>0</v>
      </c>
      <c r="Z124">
        <v>0</v>
      </c>
      <c r="AA124">
        <v>147</v>
      </c>
      <c r="AB124">
        <v>123</v>
      </c>
      <c r="AC124">
        <v>104</v>
      </c>
      <c r="AD124">
        <v>646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">
      <c r="A125" s="1">
        <v>44640</v>
      </c>
      <c r="B125" s="1" t="str">
        <f>TEXT(flights_sample_3m[[#This Row],[FL_DATE]],"yyyy-mm")</f>
        <v>2022-03</v>
      </c>
      <c r="C125" t="s">
        <v>182</v>
      </c>
      <c r="D125" t="s">
        <v>183</v>
      </c>
      <c r="E125" t="s">
        <v>184</v>
      </c>
      <c r="F125">
        <v>20398</v>
      </c>
      <c r="G125">
        <v>4096</v>
      </c>
      <c r="H125" t="s">
        <v>55</v>
      </c>
      <c r="I125" t="s">
        <v>56</v>
      </c>
      <c r="J125" t="s">
        <v>245</v>
      </c>
      <c r="K125" t="s">
        <v>246</v>
      </c>
      <c r="L125">
        <v>1230</v>
      </c>
      <c r="M125" s="2">
        <v>1225</v>
      </c>
      <c r="N125">
        <v>-5</v>
      </c>
      <c r="O125" t="str">
        <f>IF(flights_sample_3m[[#This Row],[DEP_DELAY]]&lt;=15,"No delay",IF(flights_sample_3m[[#This Row],[DEP_DELAY]]&lt;=60,"Short Delay","Long Delay"))</f>
        <v>No delay</v>
      </c>
      <c r="P125" t="str">
        <f>IF(flights_sample_3m[[#This Row],[DEP_DELAY]]&lt;=15,"Delayed","On Time")</f>
        <v>Delayed</v>
      </c>
      <c r="Q125">
        <v>15</v>
      </c>
      <c r="R125">
        <v>1240</v>
      </c>
      <c r="S125">
        <v>1349</v>
      </c>
      <c r="T125">
        <v>5</v>
      </c>
      <c r="U125">
        <v>1408</v>
      </c>
      <c r="V125" s="2">
        <v>1354</v>
      </c>
      <c r="W125">
        <v>-14</v>
      </c>
      <c r="X125">
        <v>0</v>
      </c>
      <c r="Y125">
        <v>0</v>
      </c>
      <c r="Z125">
        <v>0</v>
      </c>
      <c r="AA125">
        <v>98</v>
      </c>
      <c r="AB125">
        <v>89</v>
      </c>
      <c r="AC125">
        <v>69</v>
      </c>
      <c r="AD125">
        <v>469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">
      <c r="A126" s="1">
        <v>44180</v>
      </c>
      <c r="B126" s="1" t="str">
        <f>TEXT(flights_sample_3m[[#This Row],[FL_DATE]],"yyyy-mm")</f>
        <v>2020-12</v>
      </c>
      <c r="C126" t="s">
        <v>120</v>
      </c>
      <c r="D126" t="s">
        <v>121</v>
      </c>
      <c r="E126" t="s">
        <v>122</v>
      </c>
      <c r="F126">
        <v>20397</v>
      </c>
      <c r="G126">
        <v>5603</v>
      </c>
      <c r="H126" t="s">
        <v>123</v>
      </c>
      <c r="I126" t="s">
        <v>124</v>
      </c>
      <c r="J126" t="s">
        <v>247</v>
      </c>
      <c r="K126" t="s">
        <v>248</v>
      </c>
      <c r="L126">
        <v>1130</v>
      </c>
      <c r="M126" s="2">
        <v>1123</v>
      </c>
      <c r="N126">
        <v>-7</v>
      </c>
      <c r="O126" t="str">
        <f>IF(flights_sample_3m[[#This Row],[DEP_DELAY]]&lt;=15,"No delay",IF(flights_sample_3m[[#This Row],[DEP_DELAY]]&lt;=60,"Short Delay","Long Delay"))</f>
        <v>No delay</v>
      </c>
      <c r="P126" t="str">
        <f>IF(flights_sample_3m[[#This Row],[DEP_DELAY]]&lt;=15,"Delayed","On Time")</f>
        <v>Delayed</v>
      </c>
      <c r="Q126">
        <v>21</v>
      </c>
      <c r="R126">
        <v>1144</v>
      </c>
      <c r="S126">
        <v>1204</v>
      </c>
      <c r="T126">
        <v>6</v>
      </c>
      <c r="U126">
        <v>1220</v>
      </c>
      <c r="V126" s="2">
        <v>1210</v>
      </c>
      <c r="W126">
        <v>-10</v>
      </c>
      <c r="X126">
        <v>0</v>
      </c>
      <c r="Y126">
        <v>0</v>
      </c>
      <c r="Z126">
        <v>0</v>
      </c>
      <c r="AA126">
        <v>110</v>
      </c>
      <c r="AB126">
        <v>107</v>
      </c>
      <c r="AC126">
        <v>80</v>
      </c>
      <c r="AD126">
        <v>460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">
      <c r="A127" s="1">
        <v>44751</v>
      </c>
      <c r="B127" s="1" t="str">
        <f>TEXT(flights_sample_3m[[#This Row],[FL_DATE]],"yyyy-mm")</f>
        <v>2022-07</v>
      </c>
      <c r="C127" t="s">
        <v>107</v>
      </c>
      <c r="D127" t="s">
        <v>108</v>
      </c>
      <c r="E127" t="s">
        <v>109</v>
      </c>
      <c r="F127">
        <v>20409</v>
      </c>
      <c r="G127">
        <v>1447</v>
      </c>
      <c r="H127" t="s">
        <v>249</v>
      </c>
      <c r="I127" t="s">
        <v>250</v>
      </c>
      <c r="J127" t="s">
        <v>159</v>
      </c>
      <c r="K127" t="s">
        <v>160</v>
      </c>
      <c r="L127">
        <v>1730</v>
      </c>
      <c r="M127" s="2">
        <v>1921</v>
      </c>
      <c r="N127">
        <v>111</v>
      </c>
      <c r="O127" t="str">
        <f>IF(flights_sample_3m[[#This Row],[DEP_DELAY]]&lt;=15,"No delay",IF(flights_sample_3m[[#This Row],[DEP_DELAY]]&lt;=60,"Short Delay","Long Delay"))</f>
        <v>Long Delay</v>
      </c>
      <c r="P127" t="str">
        <f>IF(flights_sample_3m[[#This Row],[DEP_DELAY]]&lt;=15,"Delayed","On Time")</f>
        <v>On Time</v>
      </c>
      <c r="Q127">
        <v>26</v>
      </c>
      <c r="R127">
        <v>1947</v>
      </c>
      <c r="S127">
        <v>2214</v>
      </c>
      <c r="T127">
        <v>7</v>
      </c>
      <c r="U127">
        <v>2031</v>
      </c>
      <c r="V127" s="2">
        <v>2221</v>
      </c>
      <c r="W127">
        <v>110</v>
      </c>
      <c r="X127">
        <v>0</v>
      </c>
      <c r="Y127">
        <v>0</v>
      </c>
      <c r="Z127">
        <v>0</v>
      </c>
      <c r="AA127">
        <v>181</v>
      </c>
      <c r="AB127">
        <v>180</v>
      </c>
      <c r="AC127">
        <v>147</v>
      </c>
      <c r="AD127">
        <v>1032</v>
      </c>
      <c r="AE127">
        <v>110</v>
      </c>
      <c r="AF127">
        <v>0</v>
      </c>
      <c r="AG127">
        <v>0</v>
      </c>
      <c r="AH127">
        <v>0</v>
      </c>
      <c r="AI127">
        <v>0</v>
      </c>
    </row>
    <row r="128" spans="1:35" x14ac:dyDescent="0.3">
      <c r="A128" s="1">
        <v>43500</v>
      </c>
      <c r="B128" s="1" t="str">
        <f>TEXT(flights_sample_3m[[#This Row],[FL_DATE]],"yyyy-mm")</f>
        <v>2019-02</v>
      </c>
      <c r="C128" t="s">
        <v>71</v>
      </c>
      <c r="D128" t="s">
        <v>72</v>
      </c>
      <c r="E128" t="s">
        <v>73</v>
      </c>
      <c r="F128">
        <v>20452</v>
      </c>
      <c r="G128">
        <v>4321</v>
      </c>
      <c r="H128" t="s">
        <v>177</v>
      </c>
      <c r="I128" t="s">
        <v>111</v>
      </c>
      <c r="J128" t="s">
        <v>67</v>
      </c>
      <c r="K128" t="s">
        <v>68</v>
      </c>
      <c r="L128">
        <v>900</v>
      </c>
      <c r="M128" s="2">
        <v>856</v>
      </c>
      <c r="N128">
        <v>-4</v>
      </c>
      <c r="O128" t="str">
        <f>IF(flights_sample_3m[[#This Row],[DEP_DELAY]]&lt;=15,"No delay",IF(flights_sample_3m[[#This Row],[DEP_DELAY]]&lt;=60,"Short Delay","Long Delay"))</f>
        <v>No delay</v>
      </c>
      <c r="P128" t="str">
        <f>IF(flights_sample_3m[[#This Row],[DEP_DELAY]]&lt;=15,"Delayed","On Time")</f>
        <v>Delayed</v>
      </c>
      <c r="Q128">
        <v>30</v>
      </c>
      <c r="R128">
        <v>926</v>
      </c>
      <c r="S128">
        <v>1012</v>
      </c>
      <c r="T128">
        <v>15</v>
      </c>
      <c r="U128">
        <v>1030</v>
      </c>
      <c r="V128" s="2">
        <v>1027</v>
      </c>
      <c r="W128">
        <v>-3</v>
      </c>
      <c r="X128">
        <v>0</v>
      </c>
      <c r="Y128">
        <v>0</v>
      </c>
      <c r="Z128">
        <v>0</v>
      </c>
      <c r="AA128">
        <v>90</v>
      </c>
      <c r="AB128">
        <v>91</v>
      </c>
      <c r="AC128">
        <v>46</v>
      </c>
      <c r="AD128">
        <v>214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">
      <c r="A129" s="1">
        <v>44625</v>
      </c>
      <c r="B129" s="1" t="str">
        <f>TEXT(flights_sample_3m[[#This Row],[FL_DATE]],"yyyy-mm")</f>
        <v>2022-03</v>
      </c>
      <c r="C129" t="s">
        <v>64</v>
      </c>
      <c r="D129" t="s">
        <v>65</v>
      </c>
      <c r="E129" t="s">
        <v>66</v>
      </c>
      <c r="F129">
        <v>19805</v>
      </c>
      <c r="G129">
        <v>1323</v>
      </c>
      <c r="H129" t="s">
        <v>123</v>
      </c>
      <c r="I129" t="s">
        <v>124</v>
      </c>
      <c r="J129" t="s">
        <v>251</v>
      </c>
      <c r="K129" t="s">
        <v>252</v>
      </c>
      <c r="L129">
        <v>1821</v>
      </c>
      <c r="M129" s="2">
        <v>1816</v>
      </c>
      <c r="N129">
        <v>-5</v>
      </c>
      <c r="O129" t="str">
        <f>IF(flights_sample_3m[[#This Row],[DEP_DELAY]]&lt;=15,"No delay",IF(flights_sample_3m[[#This Row],[DEP_DELAY]]&lt;=60,"Short Delay","Long Delay"))</f>
        <v>No delay</v>
      </c>
      <c r="P129" t="str">
        <f>IF(flights_sample_3m[[#This Row],[DEP_DELAY]]&lt;=15,"Delayed","On Time")</f>
        <v>Delayed</v>
      </c>
      <c r="Q129">
        <v>13</v>
      </c>
      <c r="R129">
        <v>1829</v>
      </c>
      <c r="S129">
        <v>1917</v>
      </c>
      <c r="T129">
        <v>4</v>
      </c>
      <c r="U129">
        <v>1936</v>
      </c>
      <c r="V129" s="2">
        <v>1921</v>
      </c>
      <c r="W129">
        <v>-15</v>
      </c>
      <c r="X129">
        <v>0</v>
      </c>
      <c r="Y129">
        <v>0</v>
      </c>
      <c r="Z129">
        <v>0</v>
      </c>
      <c r="AA129">
        <v>75</v>
      </c>
      <c r="AB129">
        <v>65</v>
      </c>
      <c r="AC129">
        <v>48</v>
      </c>
      <c r="AD129">
        <v>290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 s="1">
        <v>45096</v>
      </c>
      <c r="B130" s="1" t="str">
        <f>TEXT(flights_sample_3m[[#This Row],[FL_DATE]],"yyyy-mm")</f>
        <v>2023-06</v>
      </c>
      <c r="C130" t="s">
        <v>32</v>
      </c>
      <c r="D130" t="s">
        <v>33</v>
      </c>
      <c r="E130" t="s">
        <v>34</v>
      </c>
      <c r="F130">
        <v>19977</v>
      </c>
      <c r="G130">
        <v>323</v>
      </c>
      <c r="H130" t="s">
        <v>37</v>
      </c>
      <c r="I130" t="s">
        <v>38</v>
      </c>
      <c r="J130" t="s">
        <v>106</v>
      </c>
      <c r="K130" t="s">
        <v>92</v>
      </c>
      <c r="L130">
        <v>1304</v>
      </c>
      <c r="M130" s="2">
        <v>1344</v>
      </c>
      <c r="N130">
        <v>40</v>
      </c>
      <c r="O130" t="str">
        <f>IF(flights_sample_3m[[#This Row],[DEP_DELAY]]&lt;=15,"No delay",IF(flights_sample_3m[[#This Row],[DEP_DELAY]]&lt;=60,"Short Delay","Long Delay"))</f>
        <v>Short Delay</v>
      </c>
      <c r="P130" t="str">
        <f>IF(flights_sample_3m[[#This Row],[DEP_DELAY]]&lt;=15,"Delayed","On Time")</f>
        <v>On Time</v>
      </c>
      <c r="Q130">
        <v>16</v>
      </c>
      <c r="R130">
        <v>1400</v>
      </c>
      <c r="S130">
        <v>1447</v>
      </c>
      <c r="T130">
        <v>13</v>
      </c>
      <c r="U130">
        <v>1438</v>
      </c>
      <c r="V130" s="2">
        <v>1500</v>
      </c>
      <c r="W130">
        <v>22</v>
      </c>
      <c r="X130">
        <v>0</v>
      </c>
      <c r="Y130">
        <v>0</v>
      </c>
      <c r="Z130">
        <v>0</v>
      </c>
      <c r="AA130">
        <v>154</v>
      </c>
      <c r="AB130">
        <v>136</v>
      </c>
      <c r="AC130">
        <v>107</v>
      </c>
      <c r="AD130">
        <v>719</v>
      </c>
      <c r="AE130">
        <v>22</v>
      </c>
      <c r="AF130">
        <v>0</v>
      </c>
      <c r="AG130">
        <v>0</v>
      </c>
      <c r="AH130">
        <v>0</v>
      </c>
      <c r="AI130">
        <v>0</v>
      </c>
    </row>
    <row r="131" spans="1:35" x14ac:dyDescent="0.3">
      <c r="A131" s="1">
        <v>44297</v>
      </c>
      <c r="B131" s="1" t="str">
        <f>TEXT(flights_sample_3m[[#This Row],[FL_DATE]],"yyyy-mm")</f>
        <v>2021-04</v>
      </c>
      <c r="C131" t="s">
        <v>253</v>
      </c>
      <c r="D131" t="s">
        <v>254</v>
      </c>
      <c r="E131" t="s">
        <v>255</v>
      </c>
      <c r="F131">
        <v>19687</v>
      </c>
      <c r="G131">
        <v>2584</v>
      </c>
      <c r="H131" t="s">
        <v>194</v>
      </c>
      <c r="I131" t="s">
        <v>195</v>
      </c>
      <c r="J131" t="s">
        <v>155</v>
      </c>
      <c r="K131" t="s">
        <v>156</v>
      </c>
      <c r="L131">
        <v>1910</v>
      </c>
      <c r="M131" s="2">
        <v>1907</v>
      </c>
      <c r="N131">
        <v>-3</v>
      </c>
      <c r="O131" t="str">
        <f>IF(flights_sample_3m[[#This Row],[DEP_DELAY]]&lt;=15,"No delay",IF(flights_sample_3m[[#This Row],[DEP_DELAY]]&lt;=60,"Short Delay","Long Delay"))</f>
        <v>No delay</v>
      </c>
      <c r="P131" t="str">
        <f>IF(flights_sample_3m[[#This Row],[DEP_DELAY]]&lt;=15,"Delayed","On Time")</f>
        <v>Delayed</v>
      </c>
      <c r="Q131">
        <v>13</v>
      </c>
      <c r="R131">
        <v>1920</v>
      </c>
      <c r="S131">
        <v>2342</v>
      </c>
      <c r="T131">
        <v>14</v>
      </c>
      <c r="U131">
        <v>2358</v>
      </c>
      <c r="V131" s="2">
        <v>2356</v>
      </c>
      <c r="W131">
        <v>-2</v>
      </c>
      <c r="X131">
        <v>0</v>
      </c>
      <c r="Y131">
        <v>0</v>
      </c>
      <c r="Z131">
        <v>0</v>
      </c>
      <c r="AA131">
        <v>168</v>
      </c>
      <c r="AB131">
        <v>169</v>
      </c>
      <c r="AC131">
        <v>142</v>
      </c>
      <c r="AD131">
        <v>1164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">
      <c r="A132" s="1">
        <v>45105</v>
      </c>
      <c r="B132" s="1" t="str">
        <f>TEXT(flights_sample_3m[[#This Row],[FL_DATE]],"yyyy-mm")</f>
        <v>2023-06</v>
      </c>
      <c r="C132" t="s">
        <v>64</v>
      </c>
      <c r="D132" t="s">
        <v>65</v>
      </c>
      <c r="E132" t="s">
        <v>66</v>
      </c>
      <c r="F132">
        <v>19805</v>
      </c>
      <c r="G132">
        <v>2830</v>
      </c>
      <c r="H132" t="s">
        <v>48</v>
      </c>
      <c r="I132" t="s">
        <v>49</v>
      </c>
      <c r="J132" t="s">
        <v>123</v>
      </c>
      <c r="K132" t="s">
        <v>124</v>
      </c>
      <c r="L132">
        <v>1320</v>
      </c>
      <c r="M132" s="2">
        <v>1354</v>
      </c>
      <c r="N132">
        <v>34</v>
      </c>
      <c r="O132" t="str">
        <f>IF(flights_sample_3m[[#This Row],[DEP_DELAY]]&lt;=15,"No delay",IF(flights_sample_3m[[#This Row],[DEP_DELAY]]&lt;=60,"Short Delay","Long Delay"))</f>
        <v>Short Delay</v>
      </c>
      <c r="P132" t="str">
        <f>IF(flights_sample_3m[[#This Row],[DEP_DELAY]]&lt;=15,"Delayed","On Time")</f>
        <v>On Time</v>
      </c>
      <c r="Q132">
        <v>20</v>
      </c>
      <c r="R132">
        <v>1414</v>
      </c>
      <c r="S132">
        <v>2142</v>
      </c>
      <c r="T132">
        <v>11</v>
      </c>
      <c r="U132">
        <v>2124</v>
      </c>
      <c r="V132" s="2">
        <v>2153</v>
      </c>
      <c r="W132">
        <v>29</v>
      </c>
      <c r="X132">
        <v>0</v>
      </c>
      <c r="Y132">
        <v>0</v>
      </c>
      <c r="Z132">
        <v>0</v>
      </c>
      <c r="AA132">
        <v>304</v>
      </c>
      <c r="AB132">
        <v>299</v>
      </c>
      <c r="AC132">
        <v>268</v>
      </c>
      <c r="AD132">
        <v>2296</v>
      </c>
      <c r="AE132">
        <v>1</v>
      </c>
      <c r="AF132">
        <v>0</v>
      </c>
      <c r="AG132">
        <v>0</v>
      </c>
      <c r="AH132">
        <v>0</v>
      </c>
      <c r="AI132">
        <v>28</v>
      </c>
    </row>
    <row r="133" spans="1:35" x14ac:dyDescent="0.3">
      <c r="A133" s="1">
        <v>44451</v>
      </c>
      <c r="B133" s="1" t="str">
        <f>TEXT(flights_sample_3m[[#This Row],[FL_DATE]],"yyyy-mm")</f>
        <v>2021-09</v>
      </c>
      <c r="C133" t="s">
        <v>120</v>
      </c>
      <c r="D133" t="s">
        <v>121</v>
      </c>
      <c r="E133" t="s">
        <v>122</v>
      </c>
      <c r="F133">
        <v>20397</v>
      </c>
      <c r="G133">
        <v>5124</v>
      </c>
      <c r="H133" t="s">
        <v>237</v>
      </c>
      <c r="I133" t="s">
        <v>238</v>
      </c>
      <c r="J133" t="s">
        <v>123</v>
      </c>
      <c r="K133" t="s">
        <v>124</v>
      </c>
      <c r="L133">
        <v>1252</v>
      </c>
      <c r="M133" s="2">
        <v>1245</v>
      </c>
      <c r="N133">
        <v>-7</v>
      </c>
      <c r="O133" t="str">
        <f>IF(flights_sample_3m[[#This Row],[DEP_DELAY]]&lt;=15,"No delay",IF(flights_sample_3m[[#This Row],[DEP_DELAY]]&lt;=60,"Short Delay","Long Delay"))</f>
        <v>No delay</v>
      </c>
      <c r="P133" t="str">
        <f>IF(flights_sample_3m[[#This Row],[DEP_DELAY]]&lt;=15,"Delayed","On Time")</f>
        <v>Delayed</v>
      </c>
      <c r="Q133">
        <v>17</v>
      </c>
      <c r="R133">
        <v>1302</v>
      </c>
      <c r="S133">
        <v>1503</v>
      </c>
      <c r="T133">
        <v>23</v>
      </c>
      <c r="U133">
        <v>1528</v>
      </c>
      <c r="V133" s="2">
        <v>1526</v>
      </c>
      <c r="W133">
        <v>-2</v>
      </c>
      <c r="X133">
        <v>0</v>
      </c>
      <c r="Y133">
        <v>0</v>
      </c>
      <c r="Z133">
        <v>0</v>
      </c>
      <c r="AA133">
        <v>96</v>
      </c>
      <c r="AB133">
        <v>101</v>
      </c>
      <c r="AC133">
        <v>61</v>
      </c>
      <c r="AD133">
        <v>350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">
      <c r="A134" s="1">
        <v>44200</v>
      </c>
      <c r="B134" s="1" t="str">
        <f>TEXT(flights_sample_3m[[#This Row],[FL_DATE]],"yyyy-mm")</f>
        <v>2021-01</v>
      </c>
      <c r="C134" t="s">
        <v>57</v>
      </c>
      <c r="D134" t="s">
        <v>58</v>
      </c>
      <c r="E134" t="s">
        <v>59</v>
      </c>
      <c r="F134">
        <v>19393</v>
      </c>
      <c r="G134">
        <v>142</v>
      </c>
      <c r="H134" t="s">
        <v>98</v>
      </c>
      <c r="I134" t="s">
        <v>99</v>
      </c>
      <c r="J134" t="s">
        <v>221</v>
      </c>
      <c r="K134" t="s">
        <v>222</v>
      </c>
      <c r="L134">
        <v>1045</v>
      </c>
      <c r="M134" s="2">
        <v>1036</v>
      </c>
      <c r="N134">
        <v>-9</v>
      </c>
      <c r="O134" t="str">
        <f>IF(flights_sample_3m[[#This Row],[DEP_DELAY]]&lt;=15,"No delay",IF(flights_sample_3m[[#This Row],[DEP_DELAY]]&lt;=60,"Short Delay","Long Delay"))</f>
        <v>No delay</v>
      </c>
      <c r="P134" t="str">
        <f>IF(flights_sample_3m[[#This Row],[DEP_DELAY]]&lt;=15,"Delayed","On Time")</f>
        <v>Delayed</v>
      </c>
      <c r="Q134">
        <v>7</v>
      </c>
      <c r="R134">
        <v>1043</v>
      </c>
      <c r="S134">
        <v>1307</v>
      </c>
      <c r="T134">
        <v>11</v>
      </c>
      <c r="U134">
        <v>1330</v>
      </c>
      <c r="V134" s="2">
        <v>1318</v>
      </c>
      <c r="W134">
        <v>-12</v>
      </c>
      <c r="X134">
        <v>0</v>
      </c>
      <c r="Y134">
        <v>0</v>
      </c>
      <c r="Z134">
        <v>0</v>
      </c>
      <c r="AA134">
        <v>165</v>
      </c>
      <c r="AB134">
        <v>162</v>
      </c>
      <c r="AC134">
        <v>144</v>
      </c>
      <c r="AD134">
        <v>946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">
      <c r="A135" s="1">
        <v>44117</v>
      </c>
      <c r="B135" s="1" t="str">
        <f>TEXT(flights_sample_3m[[#This Row],[FL_DATE]],"yyyy-mm")</f>
        <v>2020-10</v>
      </c>
      <c r="C135" t="s">
        <v>57</v>
      </c>
      <c r="D135" t="s">
        <v>58</v>
      </c>
      <c r="E135" t="s">
        <v>59</v>
      </c>
      <c r="F135">
        <v>19393</v>
      </c>
      <c r="G135">
        <v>1621</v>
      </c>
      <c r="H135" t="s">
        <v>69</v>
      </c>
      <c r="I135" t="s">
        <v>70</v>
      </c>
      <c r="J135" t="s">
        <v>91</v>
      </c>
      <c r="K135" t="s">
        <v>92</v>
      </c>
      <c r="L135">
        <v>635</v>
      </c>
      <c r="M135" s="2">
        <v>637</v>
      </c>
      <c r="N135">
        <v>2</v>
      </c>
      <c r="O135" t="str">
        <f>IF(flights_sample_3m[[#This Row],[DEP_DELAY]]&lt;=15,"No delay",IF(flights_sample_3m[[#This Row],[DEP_DELAY]]&lt;=60,"Short Delay","Long Delay"))</f>
        <v>No delay</v>
      </c>
      <c r="P135" t="str">
        <f>IF(flights_sample_3m[[#This Row],[DEP_DELAY]]&lt;=15,"Delayed","On Time")</f>
        <v>Delayed</v>
      </c>
      <c r="Q135">
        <v>9</v>
      </c>
      <c r="R135">
        <v>646</v>
      </c>
      <c r="S135">
        <v>801</v>
      </c>
      <c r="T135">
        <v>4</v>
      </c>
      <c r="U135">
        <v>820</v>
      </c>
      <c r="V135" s="2">
        <v>805</v>
      </c>
      <c r="W135">
        <v>-15</v>
      </c>
      <c r="X135">
        <v>0</v>
      </c>
      <c r="Y135">
        <v>0</v>
      </c>
      <c r="Z135">
        <v>0</v>
      </c>
      <c r="AA135">
        <v>165</v>
      </c>
      <c r="AB135">
        <v>148</v>
      </c>
      <c r="AC135">
        <v>135</v>
      </c>
      <c r="AD135">
        <v>861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">
      <c r="A136" s="1">
        <v>43710</v>
      </c>
      <c r="B136" s="1" t="str">
        <f>TEXT(flights_sample_3m[[#This Row],[FL_DATE]],"yyyy-mm")</f>
        <v>2019-09</v>
      </c>
      <c r="C136" t="s">
        <v>57</v>
      </c>
      <c r="D136" t="s">
        <v>58</v>
      </c>
      <c r="E136" t="s">
        <v>59</v>
      </c>
      <c r="F136">
        <v>19393</v>
      </c>
      <c r="G136">
        <v>2165</v>
      </c>
      <c r="H136" t="s">
        <v>95</v>
      </c>
      <c r="I136" t="s">
        <v>96</v>
      </c>
      <c r="J136" t="s">
        <v>194</v>
      </c>
      <c r="K136" t="s">
        <v>195</v>
      </c>
      <c r="L136">
        <v>930</v>
      </c>
      <c r="M136" s="2">
        <v>926</v>
      </c>
      <c r="N136">
        <v>-4</v>
      </c>
      <c r="O136" t="str">
        <f>IF(flights_sample_3m[[#This Row],[DEP_DELAY]]&lt;=15,"No delay",IF(flights_sample_3m[[#This Row],[DEP_DELAY]]&lt;=60,"Short Delay","Long Delay"))</f>
        <v>No delay</v>
      </c>
      <c r="P136" t="str">
        <f>IF(flights_sample_3m[[#This Row],[DEP_DELAY]]&lt;=15,"Delayed","On Time")</f>
        <v>Delayed</v>
      </c>
      <c r="Q136">
        <v>13</v>
      </c>
      <c r="R136">
        <v>939</v>
      </c>
      <c r="S136">
        <v>1043</v>
      </c>
      <c r="T136">
        <v>6</v>
      </c>
      <c r="U136">
        <v>1050</v>
      </c>
      <c r="V136" s="2">
        <v>1049</v>
      </c>
      <c r="W136">
        <v>-1</v>
      </c>
      <c r="X136">
        <v>0</v>
      </c>
      <c r="Y136">
        <v>0</v>
      </c>
      <c r="Z136">
        <v>0</v>
      </c>
      <c r="AA136">
        <v>80</v>
      </c>
      <c r="AB136">
        <v>83</v>
      </c>
      <c r="AC136">
        <v>64</v>
      </c>
      <c r="AD136">
        <v>417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">
      <c r="A137" s="1">
        <v>44722</v>
      </c>
      <c r="B137" s="1" t="str">
        <f>TEXT(flights_sample_3m[[#This Row],[FL_DATE]],"yyyy-mm")</f>
        <v>2022-06</v>
      </c>
      <c r="C137" t="s">
        <v>57</v>
      </c>
      <c r="D137" t="s">
        <v>58</v>
      </c>
      <c r="E137" t="s">
        <v>59</v>
      </c>
      <c r="F137">
        <v>19393</v>
      </c>
      <c r="G137">
        <v>2960</v>
      </c>
      <c r="H137" t="s">
        <v>201</v>
      </c>
      <c r="I137" t="s">
        <v>202</v>
      </c>
      <c r="J137" t="s">
        <v>78</v>
      </c>
      <c r="K137" t="s">
        <v>79</v>
      </c>
      <c r="L137">
        <v>1350</v>
      </c>
      <c r="M137" s="2">
        <v>1413</v>
      </c>
      <c r="N137">
        <v>23</v>
      </c>
      <c r="O137" t="str">
        <f>IF(flights_sample_3m[[#This Row],[DEP_DELAY]]&lt;=15,"No delay",IF(flights_sample_3m[[#This Row],[DEP_DELAY]]&lt;=60,"Short Delay","Long Delay"))</f>
        <v>Short Delay</v>
      </c>
      <c r="P137" t="str">
        <f>IF(flights_sample_3m[[#This Row],[DEP_DELAY]]&lt;=15,"Delayed","On Time")</f>
        <v>On Time</v>
      </c>
      <c r="Q137">
        <v>12</v>
      </c>
      <c r="R137">
        <v>1425</v>
      </c>
      <c r="S137">
        <v>1516</v>
      </c>
      <c r="T137">
        <v>4</v>
      </c>
      <c r="U137">
        <v>1510</v>
      </c>
      <c r="V137" s="2">
        <v>1520</v>
      </c>
      <c r="W137">
        <v>10</v>
      </c>
      <c r="X137">
        <v>0</v>
      </c>
      <c r="Y137">
        <v>0</v>
      </c>
      <c r="Z137">
        <v>0</v>
      </c>
      <c r="AA137">
        <v>80</v>
      </c>
      <c r="AB137">
        <v>67</v>
      </c>
      <c r="AC137">
        <v>51</v>
      </c>
      <c r="AD137">
        <v>370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">
      <c r="A138" s="1">
        <v>44523</v>
      </c>
      <c r="B138" s="1" t="str">
        <f>TEXT(flights_sample_3m[[#This Row],[FL_DATE]],"yyyy-mm")</f>
        <v>2021-11</v>
      </c>
      <c r="C138" t="s">
        <v>39</v>
      </c>
      <c r="D138" t="s">
        <v>40</v>
      </c>
      <c r="E138" t="s">
        <v>41</v>
      </c>
      <c r="F138">
        <v>19790</v>
      </c>
      <c r="G138">
        <v>1406</v>
      </c>
      <c r="H138" t="s">
        <v>110</v>
      </c>
      <c r="I138" t="s">
        <v>111</v>
      </c>
      <c r="J138" t="s">
        <v>159</v>
      </c>
      <c r="K138" t="s">
        <v>160</v>
      </c>
      <c r="L138">
        <v>1259</v>
      </c>
      <c r="M138" s="2">
        <v>1255</v>
      </c>
      <c r="N138">
        <v>-4</v>
      </c>
      <c r="O138" t="str">
        <f>IF(flights_sample_3m[[#This Row],[DEP_DELAY]]&lt;=15,"No delay",IF(flights_sample_3m[[#This Row],[DEP_DELAY]]&lt;=60,"Short Delay","Long Delay"))</f>
        <v>No delay</v>
      </c>
      <c r="P138" t="str">
        <f>IF(flights_sample_3m[[#This Row],[DEP_DELAY]]&lt;=15,"Delayed","On Time")</f>
        <v>Delayed</v>
      </c>
      <c r="Q138">
        <v>10</v>
      </c>
      <c r="R138">
        <v>1305</v>
      </c>
      <c r="S138">
        <v>1513</v>
      </c>
      <c r="T138">
        <v>3</v>
      </c>
      <c r="U138">
        <v>1545</v>
      </c>
      <c r="V138" s="2">
        <v>1516</v>
      </c>
      <c r="W138">
        <v>-29</v>
      </c>
      <c r="X138">
        <v>0</v>
      </c>
      <c r="Y138">
        <v>0</v>
      </c>
      <c r="Z138">
        <v>0</v>
      </c>
      <c r="AA138">
        <v>166</v>
      </c>
      <c r="AB138">
        <v>141</v>
      </c>
      <c r="AC138">
        <v>128</v>
      </c>
      <c r="AD138">
        <v>1005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">
      <c r="A139" s="1">
        <v>44274</v>
      </c>
      <c r="B139" s="1" t="str">
        <f>TEXT(flights_sample_3m[[#This Row],[FL_DATE]],"yyyy-mm")</f>
        <v>2021-03</v>
      </c>
      <c r="C139" t="s">
        <v>148</v>
      </c>
      <c r="D139" t="s">
        <v>149</v>
      </c>
      <c r="E139" t="s">
        <v>150</v>
      </c>
      <c r="F139">
        <v>20304</v>
      </c>
      <c r="G139">
        <v>5267</v>
      </c>
      <c r="H139" t="s">
        <v>256</v>
      </c>
      <c r="I139" t="s">
        <v>257</v>
      </c>
      <c r="J139" t="s">
        <v>78</v>
      </c>
      <c r="K139" t="s">
        <v>79</v>
      </c>
      <c r="L139">
        <v>1645</v>
      </c>
      <c r="M139" s="2">
        <v>1649</v>
      </c>
      <c r="N139">
        <v>4</v>
      </c>
      <c r="O139" t="str">
        <f>IF(flights_sample_3m[[#This Row],[DEP_DELAY]]&lt;=15,"No delay",IF(flights_sample_3m[[#This Row],[DEP_DELAY]]&lt;=60,"Short Delay","Long Delay"))</f>
        <v>No delay</v>
      </c>
      <c r="P139" t="str">
        <f>IF(flights_sample_3m[[#This Row],[DEP_DELAY]]&lt;=15,"Delayed","On Time")</f>
        <v>Delayed</v>
      </c>
      <c r="Q139">
        <v>52</v>
      </c>
      <c r="R139">
        <v>1741</v>
      </c>
      <c r="S139">
        <v>1823</v>
      </c>
      <c r="T139">
        <v>9</v>
      </c>
      <c r="U139">
        <v>1804</v>
      </c>
      <c r="V139" s="2">
        <v>1832</v>
      </c>
      <c r="W139">
        <v>28</v>
      </c>
      <c r="X139">
        <v>0</v>
      </c>
      <c r="Y139">
        <v>0</v>
      </c>
      <c r="Z139">
        <v>0</v>
      </c>
      <c r="AA139">
        <v>139</v>
      </c>
      <c r="AB139">
        <v>163</v>
      </c>
      <c r="AC139">
        <v>102</v>
      </c>
      <c r="AD139">
        <v>737</v>
      </c>
      <c r="AE139">
        <v>0</v>
      </c>
      <c r="AF139">
        <v>0</v>
      </c>
      <c r="AG139">
        <v>0</v>
      </c>
      <c r="AH139">
        <v>0</v>
      </c>
      <c r="AI139">
        <v>28</v>
      </c>
    </row>
    <row r="140" spans="1:35" x14ac:dyDescent="0.3">
      <c r="A140" s="1">
        <v>44444</v>
      </c>
      <c r="B140" s="1" t="str">
        <f>TEXT(flights_sample_3m[[#This Row],[FL_DATE]],"yyyy-mm")</f>
        <v>2021-09</v>
      </c>
      <c r="C140" t="s">
        <v>57</v>
      </c>
      <c r="D140" t="s">
        <v>58</v>
      </c>
      <c r="E140" t="s">
        <v>59</v>
      </c>
      <c r="F140">
        <v>19393</v>
      </c>
      <c r="G140">
        <v>4137</v>
      </c>
      <c r="H140" t="s">
        <v>258</v>
      </c>
      <c r="I140" t="s">
        <v>259</v>
      </c>
      <c r="J140" t="s">
        <v>215</v>
      </c>
      <c r="K140" t="s">
        <v>216</v>
      </c>
      <c r="L140">
        <v>2025</v>
      </c>
      <c r="M140" s="2">
        <v>2019</v>
      </c>
      <c r="N140">
        <v>-6</v>
      </c>
      <c r="O140" t="str">
        <f>IF(flights_sample_3m[[#This Row],[DEP_DELAY]]&lt;=15,"No delay",IF(flights_sample_3m[[#This Row],[DEP_DELAY]]&lt;=60,"Short Delay","Long Delay"))</f>
        <v>No delay</v>
      </c>
      <c r="P140" t="str">
        <f>IF(flights_sample_3m[[#This Row],[DEP_DELAY]]&lt;=15,"Delayed","On Time")</f>
        <v>Delayed</v>
      </c>
      <c r="Q140">
        <v>13</v>
      </c>
      <c r="R140">
        <v>2032</v>
      </c>
      <c r="S140">
        <v>2059</v>
      </c>
      <c r="T140">
        <v>3</v>
      </c>
      <c r="U140">
        <v>2115</v>
      </c>
      <c r="V140" s="2">
        <v>2102</v>
      </c>
      <c r="W140">
        <v>-13</v>
      </c>
      <c r="X140">
        <v>0</v>
      </c>
      <c r="Y140">
        <v>0</v>
      </c>
      <c r="Z140">
        <v>0</v>
      </c>
      <c r="AA140">
        <v>50</v>
      </c>
      <c r="AB140">
        <v>43</v>
      </c>
      <c r="AC140">
        <v>27</v>
      </c>
      <c r="AD140">
        <v>163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">
      <c r="A141" s="1">
        <v>43920</v>
      </c>
      <c r="B141" s="1" t="str">
        <f>TEXT(flights_sample_3m[[#This Row],[FL_DATE]],"yyyy-mm")</f>
        <v>2020-03</v>
      </c>
      <c r="C141" t="s">
        <v>39</v>
      </c>
      <c r="D141" t="s">
        <v>40</v>
      </c>
      <c r="E141" t="s">
        <v>41</v>
      </c>
      <c r="F141">
        <v>19790</v>
      </c>
      <c r="G141">
        <v>2238</v>
      </c>
      <c r="H141" t="s">
        <v>67</v>
      </c>
      <c r="I141" t="s">
        <v>68</v>
      </c>
      <c r="J141" t="s">
        <v>85</v>
      </c>
      <c r="K141" t="s">
        <v>86</v>
      </c>
      <c r="L141">
        <v>1758</v>
      </c>
      <c r="M141" s="2">
        <v>1753</v>
      </c>
      <c r="N141">
        <v>-5</v>
      </c>
      <c r="O141" t="str">
        <f>IF(flights_sample_3m[[#This Row],[DEP_DELAY]]&lt;=15,"No delay",IF(flights_sample_3m[[#This Row],[DEP_DELAY]]&lt;=60,"Short Delay","Long Delay"))</f>
        <v>No delay</v>
      </c>
      <c r="P141" t="str">
        <f>IF(flights_sample_3m[[#This Row],[DEP_DELAY]]&lt;=15,"Delayed","On Time")</f>
        <v>Delayed</v>
      </c>
      <c r="Q141">
        <v>7</v>
      </c>
      <c r="R141">
        <v>1800</v>
      </c>
      <c r="S141">
        <v>1928</v>
      </c>
      <c r="T141">
        <v>5</v>
      </c>
      <c r="U141">
        <v>2001</v>
      </c>
      <c r="V141" s="2">
        <v>1933</v>
      </c>
      <c r="W141">
        <v>-28</v>
      </c>
      <c r="X141">
        <v>0</v>
      </c>
      <c r="Y141">
        <v>0</v>
      </c>
      <c r="Z141">
        <v>0</v>
      </c>
      <c r="AA141">
        <v>123</v>
      </c>
      <c r="AB141">
        <v>100</v>
      </c>
      <c r="AC141">
        <v>88</v>
      </c>
      <c r="AD141">
        <v>547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">
      <c r="A142" s="1">
        <v>44025</v>
      </c>
      <c r="B142" s="1" t="str">
        <f>TEXT(flights_sample_3m[[#This Row],[FL_DATE]],"yyyy-mm")</f>
        <v>2020-07</v>
      </c>
      <c r="C142" t="s">
        <v>64</v>
      </c>
      <c r="D142" t="s">
        <v>65</v>
      </c>
      <c r="E142" t="s">
        <v>66</v>
      </c>
      <c r="F142">
        <v>19805</v>
      </c>
      <c r="G142">
        <v>2039</v>
      </c>
      <c r="H142" t="s">
        <v>85</v>
      </c>
      <c r="I142" t="s">
        <v>86</v>
      </c>
      <c r="J142" t="s">
        <v>205</v>
      </c>
      <c r="K142" t="s">
        <v>206</v>
      </c>
      <c r="L142">
        <v>1521</v>
      </c>
      <c r="M142" s="2">
        <v>1519</v>
      </c>
      <c r="N142">
        <v>-2</v>
      </c>
      <c r="O142" t="str">
        <f>IF(flights_sample_3m[[#This Row],[DEP_DELAY]]&lt;=15,"No delay",IF(flights_sample_3m[[#This Row],[DEP_DELAY]]&lt;=60,"Short Delay","Long Delay"))</f>
        <v>No delay</v>
      </c>
      <c r="P142" t="str">
        <f>IF(flights_sample_3m[[#This Row],[DEP_DELAY]]&lt;=15,"Delayed","On Time")</f>
        <v>Delayed</v>
      </c>
      <c r="Q142">
        <v>13</v>
      </c>
      <c r="R142">
        <v>1532</v>
      </c>
      <c r="S142">
        <v>1713</v>
      </c>
      <c r="T142">
        <v>4</v>
      </c>
      <c r="U142">
        <v>1734</v>
      </c>
      <c r="V142" s="2">
        <v>1717</v>
      </c>
      <c r="W142">
        <v>-17</v>
      </c>
      <c r="X142">
        <v>0</v>
      </c>
      <c r="Y142">
        <v>0</v>
      </c>
      <c r="Z142">
        <v>0</v>
      </c>
      <c r="AA142">
        <v>133</v>
      </c>
      <c r="AB142">
        <v>118</v>
      </c>
      <c r="AC142">
        <v>101</v>
      </c>
      <c r="AD142">
        <v>666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">
      <c r="A143" s="1">
        <v>44622</v>
      </c>
      <c r="B143" s="1" t="str">
        <f>TEXT(flights_sample_3m[[#This Row],[FL_DATE]],"yyyy-mm")</f>
        <v>2022-03</v>
      </c>
      <c r="C143" t="s">
        <v>198</v>
      </c>
      <c r="D143" t="s">
        <v>199</v>
      </c>
      <c r="E143" t="s">
        <v>200</v>
      </c>
      <c r="F143">
        <v>20378</v>
      </c>
      <c r="G143">
        <v>5855</v>
      </c>
      <c r="H143" t="s">
        <v>260</v>
      </c>
      <c r="I143" t="s">
        <v>261</v>
      </c>
      <c r="J143" t="s">
        <v>201</v>
      </c>
      <c r="K143" t="s">
        <v>202</v>
      </c>
      <c r="L143">
        <v>625</v>
      </c>
      <c r="M143" s="2">
        <v>622</v>
      </c>
      <c r="N143">
        <v>-3</v>
      </c>
      <c r="O143" t="str">
        <f>IF(flights_sample_3m[[#This Row],[DEP_DELAY]]&lt;=15,"No delay",IF(flights_sample_3m[[#This Row],[DEP_DELAY]]&lt;=60,"Short Delay","Long Delay"))</f>
        <v>No delay</v>
      </c>
      <c r="P143" t="str">
        <f>IF(flights_sample_3m[[#This Row],[DEP_DELAY]]&lt;=15,"Delayed","On Time")</f>
        <v>Delayed</v>
      </c>
      <c r="Q143">
        <v>10</v>
      </c>
      <c r="R143">
        <v>632</v>
      </c>
      <c r="S143">
        <v>704</v>
      </c>
      <c r="T143">
        <v>4</v>
      </c>
      <c r="U143">
        <v>723</v>
      </c>
      <c r="V143" s="2">
        <v>708</v>
      </c>
      <c r="W143">
        <v>-15</v>
      </c>
      <c r="X143">
        <v>0</v>
      </c>
      <c r="Y143">
        <v>0</v>
      </c>
      <c r="Z143">
        <v>0</v>
      </c>
      <c r="AA143">
        <v>118</v>
      </c>
      <c r="AB143">
        <v>106</v>
      </c>
      <c r="AC143">
        <v>92</v>
      </c>
      <c r="AD143">
        <v>581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">
      <c r="A144" s="1">
        <v>44966</v>
      </c>
      <c r="B144" s="1" t="str">
        <f>TEXT(flights_sample_3m[[#This Row],[FL_DATE]],"yyyy-mm")</f>
        <v>2023-02</v>
      </c>
      <c r="C144" t="s">
        <v>57</v>
      </c>
      <c r="D144" t="s">
        <v>58</v>
      </c>
      <c r="E144" t="s">
        <v>59</v>
      </c>
      <c r="F144">
        <v>19393</v>
      </c>
      <c r="G144">
        <v>1549</v>
      </c>
      <c r="H144" t="s">
        <v>98</v>
      </c>
      <c r="I144" t="s">
        <v>99</v>
      </c>
      <c r="J144" t="s">
        <v>262</v>
      </c>
      <c r="K144" t="s">
        <v>263</v>
      </c>
      <c r="L144">
        <v>2225</v>
      </c>
      <c r="M144" s="2">
        <v>2217</v>
      </c>
      <c r="N144">
        <v>-8</v>
      </c>
      <c r="O144" t="str">
        <f>IF(flights_sample_3m[[#This Row],[DEP_DELAY]]&lt;=15,"No delay",IF(flights_sample_3m[[#This Row],[DEP_DELAY]]&lt;=60,"Short Delay","Long Delay"))</f>
        <v>No delay</v>
      </c>
      <c r="P144" t="str">
        <f>IF(flights_sample_3m[[#This Row],[DEP_DELAY]]&lt;=15,"Delayed","On Time")</f>
        <v>Delayed</v>
      </c>
      <c r="Q144">
        <v>13</v>
      </c>
      <c r="R144">
        <v>2230</v>
      </c>
      <c r="S144">
        <v>2307</v>
      </c>
      <c r="T144">
        <v>3</v>
      </c>
      <c r="U144">
        <v>2330</v>
      </c>
      <c r="V144" s="2">
        <v>2310</v>
      </c>
      <c r="W144">
        <v>-20</v>
      </c>
      <c r="X144">
        <v>0</v>
      </c>
      <c r="Y144">
        <v>0</v>
      </c>
      <c r="Z144">
        <v>0</v>
      </c>
      <c r="AA144">
        <v>65</v>
      </c>
      <c r="AB144">
        <v>53</v>
      </c>
      <c r="AC144">
        <v>37</v>
      </c>
      <c r="AD144">
        <v>210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">
      <c r="A145" s="1">
        <v>43531</v>
      </c>
      <c r="B145" s="1" t="str">
        <f>TEXT(flights_sample_3m[[#This Row],[FL_DATE]],"yyyy-mm")</f>
        <v>2019-03</v>
      </c>
      <c r="C145" t="s">
        <v>39</v>
      </c>
      <c r="D145" t="s">
        <v>40</v>
      </c>
      <c r="E145" t="s">
        <v>41</v>
      </c>
      <c r="F145">
        <v>19790</v>
      </c>
      <c r="G145">
        <v>886</v>
      </c>
      <c r="H145" t="s">
        <v>85</v>
      </c>
      <c r="I145" t="s">
        <v>86</v>
      </c>
      <c r="J145" t="s">
        <v>55</v>
      </c>
      <c r="K145" t="s">
        <v>56</v>
      </c>
      <c r="L145">
        <v>1215</v>
      </c>
      <c r="M145" s="2">
        <v>1227</v>
      </c>
      <c r="N145">
        <v>12</v>
      </c>
      <c r="O145" t="str">
        <f>IF(flights_sample_3m[[#This Row],[DEP_DELAY]]&lt;=15,"No delay",IF(flights_sample_3m[[#This Row],[DEP_DELAY]]&lt;=60,"Short Delay","Long Delay"))</f>
        <v>No delay</v>
      </c>
      <c r="P145" t="str">
        <f>IF(flights_sample_3m[[#This Row],[DEP_DELAY]]&lt;=15,"Delayed","On Time")</f>
        <v>Delayed</v>
      </c>
      <c r="Q145">
        <v>12</v>
      </c>
      <c r="R145">
        <v>1239</v>
      </c>
      <c r="S145">
        <v>1335</v>
      </c>
      <c r="T145">
        <v>8</v>
      </c>
      <c r="U145">
        <v>1344</v>
      </c>
      <c r="V145" s="2">
        <v>1343</v>
      </c>
      <c r="W145">
        <v>-1</v>
      </c>
      <c r="X145">
        <v>0</v>
      </c>
      <c r="Y145">
        <v>0</v>
      </c>
      <c r="Z145">
        <v>0</v>
      </c>
      <c r="AA145">
        <v>149</v>
      </c>
      <c r="AB145">
        <v>136</v>
      </c>
      <c r="AC145">
        <v>116</v>
      </c>
      <c r="AD145">
        <v>731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">
      <c r="A146" s="1">
        <v>43498</v>
      </c>
      <c r="B146" s="1" t="str">
        <f>TEXT(flights_sample_3m[[#This Row],[FL_DATE]],"yyyy-mm")</f>
        <v>2019-02</v>
      </c>
      <c r="C146" t="s">
        <v>126</v>
      </c>
      <c r="D146" t="s">
        <v>127</v>
      </c>
      <c r="E146" t="s">
        <v>128</v>
      </c>
      <c r="F146">
        <v>20368</v>
      </c>
      <c r="G146">
        <v>883</v>
      </c>
      <c r="H146" t="s">
        <v>116</v>
      </c>
      <c r="I146" t="s">
        <v>117</v>
      </c>
      <c r="J146" t="s">
        <v>264</v>
      </c>
      <c r="K146" t="s">
        <v>265</v>
      </c>
      <c r="L146">
        <v>1018</v>
      </c>
      <c r="M146" s="2">
        <v>1018</v>
      </c>
      <c r="N146">
        <v>0</v>
      </c>
      <c r="O146" t="str">
        <f>IF(flights_sample_3m[[#This Row],[DEP_DELAY]]&lt;=15,"No delay",IF(flights_sample_3m[[#This Row],[DEP_DELAY]]&lt;=60,"Short Delay","Long Delay"))</f>
        <v>No delay</v>
      </c>
      <c r="P146" t="str">
        <f>IF(flights_sample_3m[[#This Row],[DEP_DELAY]]&lt;=15,"Delayed","On Time")</f>
        <v>Delayed</v>
      </c>
      <c r="Q146">
        <v>15</v>
      </c>
      <c r="R146">
        <v>1033</v>
      </c>
      <c r="S146">
        <v>1244</v>
      </c>
      <c r="T146">
        <v>4</v>
      </c>
      <c r="U146">
        <v>1255</v>
      </c>
      <c r="V146" s="2">
        <v>1248</v>
      </c>
      <c r="W146">
        <v>-7</v>
      </c>
      <c r="X146">
        <v>0</v>
      </c>
      <c r="Y146">
        <v>0</v>
      </c>
      <c r="Z146">
        <v>0</v>
      </c>
      <c r="AA146">
        <v>157</v>
      </c>
      <c r="AB146">
        <v>150</v>
      </c>
      <c r="AC146">
        <v>131</v>
      </c>
      <c r="AD146">
        <v>1044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">
      <c r="A147" s="1">
        <v>44710</v>
      </c>
      <c r="B147" s="1" t="str">
        <f>TEXT(flights_sample_3m[[#This Row],[FL_DATE]],"yyyy-mm")</f>
        <v>2022-05</v>
      </c>
      <c r="C147" t="s">
        <v>148</v>
      </c>
      <c r="D147" t="s">
        <v>149</v>
      </c>
      <c r="E147" t="s">
        <v>150</v>
      </c>
      <c r="F147">
        <v>20304</v>
      </c>
      <c r="G147">
        <v>3771</v>
      </c>
      <c r="H147" t="s">
        <v>146</v>
      </c>
      <c r="I147" t="s">
        <v>147</v>
      </c>
      <c r="J147" t="s">
        <v>266</v>
      </c>
      <c r="K147" t="s">
        <v>267</v>
      </c>
      <c r="L147">
        <v>925</v>
      </c>
      <c r="M147" s="2">
        <v>928</v>
      </c>
      <c r="N147">
        <v>3</v>
      </c>
      <c r="O147" t="str">
        <f>IF(flights_sample_3m[[#This Row],[DEP_DELAY]]&lt;=15,"No delay",IF(flights_sample_3m[[#This Row],[DEP_DELAY]]&lt;=60,"Short Delay","Long Delay"))</f>
        <v>No delay</v>
      </c>
      <c r="P147" t="str">
        <f>IF(flights_sample_3m[[#This Row],[DEP_DELAY]]&lt;=15,"Delayed","On Time")</f>
        <v>Delayed</v>
      </c>
      <c r="Q147">
        <v>14</v>
      </c>
      <c r="R147">
        <v>942</v>
      </c>
      <c r="S147">
        <v>1227</v>
      </c>
      <c r="T147">
        <v>3</v>
      </c>
      <c r="U147">
        <v>1245</v>
      </c>
      <c r="V147" s="2">
        <v>1230</v>
      </c>
      <c r="W147">
        <v>-15</v>
      </c>
      <c r="X147">
        <v>0</v>
      </c>
      <c r="Y147">
        <v>0</v>
      </c>
      <c r="Z147">
        <v>0</v>
      </c>
      <c r="AA147">
        <v>140</v>
      </c>
      <c r="AB147">
        <v>122</v>
      </c>
      <c r="AC147">
        <v>105</v>
      </c>
      <c r="AD147">
        <v>840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">
      <c r="A148" s="1">
        <v>44399</v>
      </c>
      <c r="B148" s="1" t="str">
        <f>TEXT(flights_sample_3m[[#This Row],[FL_DATE]],"yyyy-mm")</f>
        <v>2021-07</v>
      </c>
      <c r="C148" t="s">
        <v>39</v>
      </c>
      <c r="D148" t="s">
        <v>40</v>
      </c>
      <c r="E148" t="s">
        <v>41</v>
      </c>
      <c r="F148">
        <v>19790</v>
      </c>
      <c r="G148">
        <v>1749</v>
      </c>
      <c r="H148" t="s">
        <v>78</v>
      </c>
      <c r="I148" t="s">
        <v>79</v>
      </c>
      <c r="J148" t="s">
        <v>53</v>
      </c>
      <c r="K148" t="s">
        <v>54</v>
      </c>
      <c r="L148">
        <v>1035</v>
      </c>
      <c r="M148" s="2">
        <v>1034</v>
      </c>
      <c r="N148">
        <v>-1</v>
      </c>
      <c r="O148" t="str">
        <f>IF(flights_sample_3m[[#This Row],[DEP_DELAY]]&lt;=15,"No delay",IF(flights_sample_3m[[#This Row],[DEP_DELAY]]&lt;=60,"Short Delay","Long Delay"))</f>
        <v>No delay</v>
      </c>
      <c r="P148" t="str">
        <f>IF(flights_sample_3m[[#This Row],[DEP_DELAY]]&lt;=15,"Delayed","On Time")</f>
        <v>Delayed</v>
      </c>
      <c r="Q148">
        <v>14</v>
      </c>
      <c r="R148">
        <v>1048</v>
      </c>
      <c r="S148">
        <v>1821</v>
      </c>
      <c r="T148">
        <v>18</v>
      </c>
      <c r="U148">
        <v>1842</v>
      </c>
      <c r="V148" s="2">
        <v>1839</v>
      </c>
      <c r="W148">
        <v>-3</v>
      </c>
      <c r="X148">
        <v>0</v>
      </c>
      <c r="Y148">
        <v>0</v>
      </c>
      <c r="Z148">
        <v>0</v>
      </c>
      <c r="AA148">
        <v>307</v>
      </c>
      <c r="AB148">
        <v>305</v>
      </c>
      <c r="AC148">
        <v>273</v>
      </c>
      <c r="AD148">
        <v>2218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">
      <c r="A149" s="1">
        <v>43871</v>
      </c>
      <c r="B149" s="1" t="str">
        <f>TEXT(flights_sample_3m[[#This Row],[FL_DATE]],"yyyy-mm")</f>
        <v>2020-02</v>
      </c>
      <c r="C149" t="s">
        <v>57</v>
      </c>
      <c r="D149" t="s">
        <v>58</v>
      </c>
      <c r="E149" t="s">
        <v>59</v>
      </c>
      <c r="F149">
        <v>19393</v>
      </c>
      <c r="G149">
        <v>1069</v>
      </c>
      <c r="H149" t="s">
        <v>48</v>
      </c>
      <c r="I149" t="s">
        <v>49</v>
      </c>
      <c r="J149" t="s">
        <v>268</v>
      </c>
      <c r="K149" t="s">
        <v>269</v>
      </c>
      <c r="L149">
        <v>1725</v>
      </c>
      <c r="M149" s="2">
        <v>1721</v>
      </c>
      <c r="N149">
        <v>-4</v>
      </c>
      <c r="O149" t="str">
        <f>IF(flights_sample_3m[[#This Row],[DEP_DELAY]]&lt;=15,"No delay",IF(flights_sample_3m[[#This Row],[DEP_DELAY]]&lt;=60,"Short Delay","Long Delay"))</f>
        <v>No delay</v>
      </c>
      <c r="P149" t="str">
        <f>IF(flights_sample_3m[[#This Row],[DEP_DELAY]]&lt;=15,"Delayed","On Time")</f>
        <v>Delayed</v>
      </c>
      <c r="Q149">
        <v>14</v>
      </c>
      <c r="R149">
        <v>1735</v>
      </c>
      <c r="S149">
        <v>1827</v>
      </c>
      <c r="T149">
        <v>2</v>
      </c>
      <c r="U149">
        <v>1845</v>
      </c>
      <c r="V149" s="2">
        <v>1829</v>
      </c>
      <c r="W149">
        <v>-16</v>
      </c>
      <c r="X149">
        <v>0</v>
      </c>
      <c r="Y149">
        <v>0</v>
      </c>
      <c r="Z149">
        <v>0</v>
      </c>
      <c r="AA149">
        <v>80</v>
      </c>
      <c r="AB149">
        <v>68</v>
      </c>
      <c r="AC149">
        <v>52</v>
      </c>
      <c r="AD149">
        <v>326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">
      <c r="A150" s="1">
        <v>43669</v>
      </c>
      <c r="B150" s="1" t="str">
        <f>TEXT(flights_sample_3m[[#This Row],[FL_DATE]],"yyyy-mm")</f>
        <v>2019-07</v>
      </c>
      <c r="C150" t="s">
        <v>57</v>
      </c>
      <c r="D150" t="s">
        <v>58</v>
      </c>
      <c r="E150" t="s">
        <v>59</v>
      </c>
      <c r="F150">
        <v>19393</v>
      </c>
      <c r="G150">
        <v>496</v>
      </c>
      <c r="H150" t="s">
        <v>53</v>
      </c>
      <c r="I150" t="s">
        <v>54</v>
      </c>
      <c r="J150" t="s">
        <v>91</v>
      </c>
      <c r="K150" t="s">
        <v>92</v>
      </c>
      <c r="L150">
        <v>1705</v>
      </c>
      <c r="M150" s="2">
        <v>1737</v>
      </c>
      <c r="N150">
        <v>32</v>
      </c>
      <c r="O150" t="str">
        <f>IF(flights_sample_3m[[#This Row],[DEP_DELAY]]&lt;=15,"No delay",IF(flights_sample_3m[[#This Row],[DEP_DELAY]]&lt;=60,"Short Delay","Long Delay"))</f>
        <v>Short Delay</v>
      </c>
      <c r="P150" t="str">
        <f>IF(flights_sample_3m[[#This Row],[DEP_DELAY]]&lt;=15,"Delayed","On Time")</f>
        <v>On Time</v>
      </c>
      <c r="Q150">
        <v>30</v>
      </c>
      <c r="R150">
        <v>1807</v>
      </c>
      <c r="S150">
        <v>1923</v>
      </c>
      <c r="T150">
        <v>2</v>
      </c>
      <c r="U150">
        <v>1850</v>
      </c>
      <c r="V150" s="2">
        <v>1925</v>
      </c>
      <c r="W150">
        <v>35</v>
      </c>
      <c r="X150">
        <v>0</v>
      </c>
      <c r="Y150">
        <v>0</v>
      </c>
      <c r="Z150">
        <v>0</v>
      </c>
      <c r="AA150">
        <v>165</v>
      </c>
      <c r="AB150">
        <v>168</v>
      </c>
      <c r="AC150">
        <v>136</v>
      </c>
      <c r="AD150">
        <v>990</v>
      </c>
      <c r="AE150">
        <v>10</v>
      </c>
      <c r="AF150">
        <v>0</v>
      </c>
      <c r="AG150">
        <v>3</v>
      </c>
      <c r="AH150">
        <v>0</v>
      </c>
      <c r="AI150">
        <v>22</v>
      </c>
    </row>
    <row r="151" spans="1:35" x14ac:dyDescent="0.3">
      <c r="A151" s="1">
        <v>43626</v>
      </c>
      <c r="B151" s="1" t="str">
        <f>TEXT(flights_sample_3m[[#This Row],[FL_DATE]],"yyyy-mm")</f>
        <v>2019-06</v>
      </c>
      <c r="C151" t="s">
        <v>80</v>
      </c>
      <c r="D151" t="s">
        <v>81</v>
      </c>
      <c r="E151" t="s">
        <v>82</v>
      </c>
      <c r="F151">
        <v>19930</v>
      </c>
      <c r="G151">
        <v>668</v>
      </c>
      <c r="H151" t="s">
        <v>44</v>
      </c>
      <c r="I151" t="s">
        <v>45</v>
      </c>
      <c r="J151" t="s">
        <v>46</v>
      </c>
      <c r="K151" t="s">
        <v>47</v>
      </c>
      <c r="L151">
        <v>1550</v>
      </c>
      <c r="M151" s="2">
        <v>1543</v>
      </c>
      <c r="N151">
        <v>-7</v>
      </c>
      <c r="O151" t="str">
        <f>IF(flights_sample_3m[[#This Row],[DEP_DELAY]]&lt;=15,"No delay",IF(flights_sample_3m[[#This Row],[DEP_DELAY]]&lt;=60,"Short Delay","Long Delay"))</f>
        <v>No delay</v>
      </c>
      <c r="P151" t="str">
        <f>IF(flights_sample_3m[[#This Row],[DEP_DELAY]]&lt;=15,"Delayed","On Time")</f>
        <v>Delayed</v>
      </c>
      <c r="Q151">
        <v>29</v>
      </c>
      <c r="R151">
        <v>1612</v>
      </c>
      <c r="S151">
        <v>1914</v>
      </c>
      <c r="T151">
        <v>6</v>
      </c>
      <c r="U151">
        <v>1930</v>
      </c>
      <c r="V151" s="2">
        <v>1920</v>
      </c>
      <c r="W151">
        <v>-10</v>
      </c>
      <c r="X151">
        <v>0</v>
      </c>
      <c r="Y151">
        <v>0</v>
      </c>
      <c r="Z151">
        <v>0</v>
      </c>
      <c r="AA151">
        <v>160</v>
      </c>
      <c r="AB151">
        <v>157</v>
      </c>
      <c r="AC151">
        <v>122</v>
      </c>
      <c r="AD151">
        <v>1024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">
      <c r="A152" s="1">
        <v>44817</v>
      </c>
      <c r="B152" s="1" t="str">
        <f>TEXT(flights_sample_3m[[#This Row],[FL_DATE]],"yyyy-mm")</f>
        <v>2022-09</v>
      </c>
      <c r="C152" t="s">
        <v>64</v>
      </c>
      <c r="D152" t="s">
        <v>65</v>
      </c>
      <c r="E152" t="s">
        <v>66</v>
      </c>
      <c r="F152">
        <v>19805</v>
      </c>
      <c r="G152">
        <v>408</v>
      </c>
      <c r="H152" t="s">
        <v>177</v>
      </c>
      <c r="I152" t="s">
        <v>111</v>
      </c>
      <c r="J152" t="s">
        <v>106</v>
      </c>
      <c r="K152" t="s">
        <v>92</v>
      </c>
      <c r="L152">
        <v>1030</v>
      </c>
      <c r="M152" s="2">
        <v>1232</v>
      </c>
      <c r="N152">
        <v>122</v>
      </c>
      <c r="O152" t="str">
        <f>IF(flights_sample_3m[[#This Row],[DEP_DELAY]]&lt;=15,"No delay",IF(flights_sample_3m[[#This Row],[DEP_DELAY]]&lt;=60,"Short Delay","Long Delay"))</f>
        <v>Long Delay</v>
      </c>
      <c r="P152" t="str">
        <f>IF(flights_sample_3m[[#This Row],[DEP_DELAY]]&lt;=15,"Delayed","On Time")</f>
        <v>On Time</v>
      </c>
      <c r="Q152">
        <v>12</v>
      </c>
      <c r="R152">
        <v>1244</v>
      </c>
      <c r="S152">
        <v>1329</v>
      </c>
      <c r="T152">
        <v>14</v>
      </c>
      <c r="U152">
        <v>1208</v>
      </c>
      <c r="V152" s="2">
        <v>1343</v>
      </c>
      <c r="W152">
        <v>95</v>
      </c>
      <c r="X152">
        <v>0</v>
      </c>
      <c r="Y152">
        <v>0</v>
      </c>
      <c r="Z152">
        <v>0</v>
      </c>
      <c r="AA152">
        <v>158</v>
      </c>
      <c r="AB152">
        <v>131</v>
      </c>
      <c r="AC152">
        <v>105</v>
      </c>
      <c r="AD152">
        <v>733</v>
      </c>
      <c r="AE152">
        <v>0</v>
      </c>
      <c r="AF152">
        <v>0</v>
      </c>
      <c r="AG152">
        <v>0</v>
      </c>
      <c r="AH152">
        <v>0</v>
      </c>
      <c r="AI152">
        <v>95</v>
      </c>
    </row>
    <row r="153" spans="1:35" x14ac:dyDescent="0.3">
      <c r="A153" s="1">
        <v>45109</v>
      </c>
      <c r="B153" s="1" t="str">
        <f>TEXT(flights_sample_3m[[#This Row],[FL_DATE]],"yyyy-mm")</f>
        <v>2023-07</v>
      </c>
      <c r="C153" t="s">
        <v>148</v>
      </c>
      <c r="D153" t="s">
        <v>149</v>
      </c>
      <c r="E153" t="s">
        <v>150</v>
      </c>
      <c r="F153">
        <v>20304</v>
      </c>
      <c r="G153">
        <v>3950</v>
      </c>
      <c r="H153" t="s">
        <v>110</v>
      </c>
      <c r="I153" t="s">
        <v>111</v>
      </c>
      <c r="J153" t="s">
        <v>125</v>
      </c>
      <c r="K153" t="s">
        <v>68</v>
      </c>
      <c r="L153">
        <v>1455</v>
      </c>
      <c r="M153" s="2">
        <v>1457</v>
      </c>
      <c r="N153">
        <v>2</v>
      </c>
      <c r="O153" t="str">
        <f>IF(flights_sample_3m[[#This Row],[DEP_DELAY]]&lt;=15,"No delay",IF(flights_sample_3m[[#This Row],[DEP_DELAY]]&lt;=60,"Short Delay","Long Delay"))</f>
        <v>No delay</v>
      </c>
      <c r="P153" t="str">
        <f>IF(flights_sample_3m[[#This Row],[DEP_DELAY]]&lt;=15,"Delayed","On Time")</f>
        <v>Delayed</v>
      </c>
      <c r="Q153">
        <v>18</v>
      </c>
      <c r="R153">
        <v>1515</v>
      </c>
      <c r="S153">
        <v>1559</v>
      </c>
      <c r="T153">
        <v>9</v>
      </c>
      <c r="U153">
        <v>1627</v>
      </c>
      <c r="V153" s="2">
        <v>1608</v>
      </c>
      <c r="W153">
        <v>-19</v>
      </c>
      <c r="X153">
        <v>0</v>
      </c>
      <c r="Y153">
        <v>0</v>
      </c>
      <c r="Z153">
        <v>0</v>
      </c>
      <c r="AA153">
        <v>92</v>
      </c>
      <c r="AB153">
        <v>71</v>
      </c>
      <c r="AC153">
        <v>44</v>
      </c>
      <c r="AD153">
        <v>228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">
      <c r="A154" s="1">
        <v>44788</v>
      </c>
      <c r="B154" s="1" t="str">
        <f>TEXT(flights_sample_3m[[#This Row],[FL_DATE]],"yyyy-mm")</f>
        <v>2022-08</v>
      </c>
      <c r="C154" t="s">
        <v>120</v>
      </c>
      <c r="D154" t="s">
        <v>121</v>
      </c>
      <c r="E154" t="s">
        <v>122</v>
      </c>
      <c r="F154">
        <v>20397</v>
      </c>
      <c r="G154">
        <v>5138</v>
      </c>
      <c r="H154" t="s">
        <v>270</v>
      </c>
      <c r="I154" t="s">
        <v>271</v>
      </c>
      <c r="J154" t="s">
        <v>67</v>
      </c>
      <c r="K154" t="s">
        <v>68</v>
      </c>
      <c r="L154">
        <v>1731</v>
      </c>
      <c r="M154" s="2">
        <v>1724</v>
      </c>
      <c r="N154">
        <v>-7</v>
      </c>
      <c r="O154" t="str">
        <f>IF(flights_sample_3m[[#This Row],[DEP_DELAY]]&lt;=15,"No delay",IF(flights_sample_3m[[#This Row],[DEP_DELAY]]&lt;=60,"Short Delay","Long Delay"))</f>
        <v>No delay</v>
      </c>
      <c r="P154" t="str">
        <f>IF(flights_sample_3m[[#This Row],[DEP_DELAY]]&lt;=15,"Delayed","On Time")</f>
        <v>Delayed</v>
      </c>
      <c r="Q154">
        <v>10</v>
      </c>
      <c r="R154">
        <v>1734</v>
      </c>
      <c r="S154">
        <v>1824</v>
      </c>
      <c r="T154">
        <v>6</v>
      </c>
      <c r="U154">
        <v>1844</v>
      </c>
      <c r="V154" s="2">
        <v>1830</v>
      </c>
      <c r="W154">
        <v>-14</v>
      </c>
      <c r="X154">
        <v>0</v>
      </c>
      <c r="Y154">
        <v>0</v>
      </c>
      <c r="Z154">
        <v>0</v>
      </c>
      <c r="AA154">
        <v>73</v>
      </c>
      <c r="AB154">
        <v>66</v>
      </c>
      <c r="AC154">
        <v>50</v>
      </c>
      <c r="AD154">
        <v>296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">
      <c r="A155" s="1">
        <v>44861</v>
      </c>
      <c r="B155" s="1" t="str">
        <f>TEXT(flights_sample_3m[[#This Row],[FL_DATE]],"yyyy-mm")</f>
        <v>2022-10</v>
      </c>
      <c r="C155" t="s">
        <v>148</v>
      </c>
      <c r="D155" t="s">
        <v>149</v>
      </c>
      <c r="E155" t="s">
        <v>150</v>
      </c>
      <c r="F155">
        <v>20304</v>
      </c>
      <c r="G155">
        <v>4769</v>
      </c>
      <c r="H155" t="s">
        <v>46</v>
      </c>
      <c r="I155" t="s">
        <v>47</v>
      </c>
      <c r="J155" t="s">
        <v>272</v>
      </c>
      <c r="K155" t="s">
        <v>273</v>
      </c>
      <c r="L155">
        <v>1336</v>
      </c>
      <c r="M155" s="2">
        <v>1353</v>
      </c>
      <c r="N155">
        <v>17</v>
      </c>
      <c r="O155" t="str">
        <f>IF(flights_sample_3m[[#This Row],[DEP_DELAY]]&lt;=15,"No delay",IF(flights_sample_3m[[#This Row],[DEP_DELAY]]&lt;=60,"Short Delay","Long Delay"))</f>
        <v>Short Delay</v>
      </c>
      <c r="P155" t="str">
        <f>IF(flights_sample_3m[[#This Row],[DEP_DELAY]]&lt;=15,"Delayed","On Time")</f>
        <v>On Time</v>
      </c>
      <c r="Q155">
        <v>20</v>
      </c>
      <c r="R155">
        <v>1413</v>
      </c>
      <c r="S155">
        <v>1644</v>
      </c>
      <c r="T155">
        <v>4</v>
      </c>
      <c r="U155">
        <v>1639</v>
      </c>
      <c r="V155" s="2">
        <v>1648</v>
      </c>
      <c r="W155">
        <v>9</v>
      </c>
      <c r="X155">
        <v>0</v>
      </c>
      <c r="Y155">
        <v>0</v>
      </c>
      <c r="Z155">
        <v>0</v>
      </c>
      <c r="AA155">
        <v>123</v>
      </c>
      <c r="AB155">
        <v>115</v>
      </c>
      <c r="AC155">
        <v>91</v>
      </c>
      <c r="AD155">
        <v>692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">
      <c r="A156" s="1">
        <v>43875</v>
      </c>
      <c r="B156" s="1" t="str">
        <f>TEXT(flights_sample_3m[[#This Row],[FL_DATE]],"yyyy-mm")</f>
        <v>2020-02</v>
      </c>
      <c r="C156" t="s">
        <v>148</v>
      </c>
      <c r="D156" t="s">
        <v>149</v>
      </c>
      <c r="E156" t="s">
        <v>150</v>
      </c>
      <c r="F156">
        <v>20304</v>
      </c>
      <c r="G156">
        <v>3085</v>
      </c>
      <c r="H156" t="s">
        <v>201</v>
      </c>
      <c r="I156" t="s">
        <v>202</v>
      </c>
      <c r="J156" t="s">
        <v>229</v>
      </c>
      <c r="K156" t="s">
        <v>230</v>
      </c>
      <c r="L156">
        <v>2115</v>
      </c>
      <c r="M156" s="2">
        <v>2109</v>
      </c>
      <c r="N156">
        <v>-6</v>
      </c>
      <c r="O156" t="str">
        <f>IF(flights_sample_3m[[#This Row],[DEP_DELAY]]&lt;=15,"No delay",IF(flights_sample_3m[[#This Row],[DEP_DELAY]]&lt;=60,"Short Delay","Long Delay"))</f>
        <v>No delay</v>
      </c>
      <c r="P156" t="str">
        <f>IF(flights_sample_3m[[#This Row],[DEP_DELAY]]&lt;=15,"Delayed","On Time")</f>
        <v>Delayed</v>
      </c>
      <c r="Q156">
        <v>16</v>
      </c>
      <c r="R156">
        <v>2125</v>
      </c>
      <c r="S156">
        <v>2103</v>
      </c>
      <c r="T156">
        <v>3</v>
      </c>
      <c r="U156">
        <v>2125</v>
      </c>
      <c r="V156" s="2">
        <v>2106</v>
      </c>
      <c r="W156">
        <v>-19</v>
      </c>
      <c r="X156">
        <v>0</v>
      </c>
      <c r="Y156">
        <v>0</v>
      </c>
      <c r="Z156">
        <v>0</v>
      </c>
      <c r="AA156">
        <v>70</v>
      </c>
      <c r="AB156">
        <v>57</v>
      </c>
      <c r="AC156">
        <v>38</v>
      </c>
      <c r="AD156">
        <v>261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">
      <c r="A157" s="1">
        <v>45048</v>
      </c>
      <c r="B157" s="1" t="str">
        <f>TEXT(flights_sample_3m[[#This Row],[FL_DATE]],"yyyy-mm")</f>
        <v>2023-05</v>
      </c>
      <c r="C157" t="s">
        <v>57</v>
      </c>
      <c r="D157" t="s">
        <v>58</v>
      </c>
      <c r="E157" t="s">
        <v>59</v>
      </c>
      <c r="F157">
        <v>19393</v>
      </c>
      <c r="G157">
        <v>3020</v>
      </c>
      <c r="H157" t="s">
        <v>46</v>
      </c>
      <c r="I157" t="s">
        <v>47</v>
      </c>
      <c r="J157" t="s">
        <v>44</v>
      </c>
      <c r="K157" t="s">
        <v>45</v>
      </c>
      <c r="L157">
        <v>1200</v>
      </c>
      <c r="M157" s="2">
        <v>1209</v>
      </c>
      <c r="N157">
        <v>9</v>
      </c>
      <c r="O157" t="str">
        <f>IF(flights_sample_3m[[#This Row],[DEP_DELAY]]&lt;=15,"No delay",IF(flights_sample_3m[[#This Row],[DEP_DELAY]]&lt;=60,"Short Delay","Long Delay"))</f>
        <v>No delay</v>
      </c>
      <c r="P157" t="str">
        <f>IF(flights_sample_3m[[#This Row],[DEP_DELAY]]&lt;=15,"Delayed","On Time")</f>
        <v>Delayed</v>
      </c>
      <c r="Q157">
        <v>11</v>
      </c>
      <c r="R157">
        <v>1220</v>
      </c>
      <c r="S157">
        <v>1324</v>
      </c>
      <c r="T157">
        <v>6</v>
      </c>
      <c r="U157">
        <v>1355</v>
      </c>
      <c r="V157" s="2">
        <v>1330</v>
      </c>
      <c r="W157">
        <v>-25</v>
      </c>
      <c r="X157">
        <v>0</v>
      </c>
      <c r="Y157">
        <v>0</v>
      </c>
      <c r="Z157">
        <v>0</v>
      </c>
      <c r="AA157">
        <v>175</v>
      </c>
      <c r="AB157">
        <v>141</v>
      </c>
      <c r="AC157">
        <v>124</v>
      </c>
      <c r="AD157">
        <v>1024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">
      <c r="A158" s="1">
        <v>43499</v>
      </c>
      <c r="B158" s="1" t="str">
        <f>TEXT(flights_sample_3m[[#This Row],[FL_DATE]],"yyyy-mm")</f>
        <v>2019-02</v>
      </c>
      <c r="C158" t="s">
        <v>126</v>
      </c>
      <c r="D158" t="s">
        <v>127</v>
      </c>
      <c r="E158" t="s">
        <v>128</v>
      </c>
      <c r="F158">
        <v>20368</v>
      </c>
      <c r="G158">
        <v>741</v>
      </c>
      <c r="H158" t="s">
        <v>165</v>
      </c>
      <c r="I158" t="s">
        <v>166</v>
      </c>
      <c r="J158" t="s">
        <v>227</v>
      </c>
      <c r="K158" t="s">
        <v>228</v>
      </c>
      <c r="L158">
        <v>1240</v>
      </c>
      <c r="M158" s="2">
        <v>1255</v>
      </c>
      <c r="N158">
        <v>15</v>
      </c>
      <c r="O158" t="str">
        <f>IF(flights_sample_3m[[#This Row],[DEP_DELAY]]&lt;=15,"No delay",IF(flights_sample_3m[[#This Row],[DEP_DELAY]]&lt;=60,"Short Delay","Long Delay"))</f>
        <v>No delay</v>
      </c>
      <c r="P158" t="str">
        <f>IF(flights_sample_3m[[#This Row],[DEP_DELAY]]&lt;=15,"Delayed","On Time")</f>
        <v>Delayed</v>
      </c>
      <c r="Q158">
        <v>19</v>
      </c>
      <c r="R158">
        <v>1314</v>
      </c>
      <c r="S158">
        <v>1524</v>
      </c>
      <c r="T158">
        <v>6</v>
      </c>
      <c r="U158">
        <v>1457</v>
      </c>
      <c r="V158" s="2">
        <v>1530</v>
      </c>
      <c r="W158">
        <v>33</v>
      </c>
      <c r="X158">
        <v>0</v>
      </c>
      <c r="Y158">
        <v>0</v>
      </c>
      <c r="Z158">
        <v>0</v>
      </c>
      <c r="AA158">
        <v>197</v>
      </c>
      <c r="AB158">
        <v>215</v>
      </c>
      <c r="AC158">
        <v>190</v>
      </c>
      <c r="AD158">
        <v>1299</v>
      </c>
      <c r="AE158">
        <v>0</v>
      </c>
      <c r="AF158">
        <v>15</v>
      </c>
      <c r="AG158">
        <v>18</v>
      </c>
      <c r="AH158">
        <v>0</v>
      </c>
      <c r="AI158">
        <v>0</v>
      </c>
    </row>
    <row r="159" spans="1:35" x14ac:dyDescent="0.3">
      <c r="A159" s="1">
        <v>43900</v>
      </c>
      <c r="B159" s="1" t="str">
        <f>TEXT(flights_sample_3m[[#This Row],[FL_DATE]],"yyyy-mm")</f>
        <v>2020-03</v>
      </c>
      <c r="C159" t="s">
        <v>148</v>
      </c>
      <c r="D159" t="s">
        <v>149</v>
      </c>
      <c r="E159" t="s">
        <v>150</v>
      </c>
      <c r="F159">
        <v>20304</v>
      </c>
      <c r="G159">
        <v>3613</v>
      </c>
      <c r="H159" t="s">
        <v>146</v>
      </c>
      <c r="I159" t="s">
        <v>147</v>
      </c>
      <c r="J159" t="s">
        <v>48</v>
      </c>
      <c r="K159" t="s">
        <v>49</v>
      </c>
      <c r="L159">
        <v>1700</v>
      </c>
      <c r="M159" s="2">
        <v>1659</v>
      </c>
      <c r="N159">
        <v>-1</v>
      </c>
      <c r="O159" t="str">
        <f>IF(flights_sample_3m[[#This Row],[DEP_DELAY]]&lt;=15,"No delay",IF(flights_sample_3m[[#This Row],[DEP_DELAY]]&lt;=60,"Short Delay","Long Delay"))</f>
        <v>No delay</v>
      </c>
      <c r="P159" t="str">
        <f>IF(flights_sample_3m[[#This Row],[DEP_DELAY]]&lt;=15,"Delayed","On Time")</f>
        <v>Delayed</v>
      </c>
      <c r="Q159">
        <v>17</v>
      </c>
      <c r="R159">
        <v>1716</v>
      </c>
      <c r="S159">
        <v>1751</v>
      </c>
      <c r="T159">
        <v>5</v>
      </c>
      <c r="U159">
        <v>1819</v>
      </c>
      <c r="V159" s="2">
        <v>1756</v>
      </c>
      <c r="W159">
        <v>-23</v>
      </c>
      <c r="X159">
        <v>0</v>
      </c>
      <c r="Y159">
        <v>0</v>
      </c>
      <c r="Z159">
        <v>0</v>
      </c>
      <c r="AA159">
        <v>139</v>
      </c>
      <c r="AB159">
        <v>117</v>
      </c>
      <c r="AC159">
        <v>95</v>
      </c>
      <c r="AD159">
        <v>599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">
      <c r="A160" s="1">
        <v>44519</v>
      </c>
      <c r="B160" s="1" t="str">
        <f>TEXT(flights_sample_3m[[#This Row],[FL_DATE]],"yyyy-mm")</f>
        <v>2021-11</v>
      </c>
      <c r="C160" t="s">
        <v>57</v>
      </c>
      <c r="D160" t="s">
        <v>58</v>
      </c>
      <c r="E160" t="s">
        <v>59</v>
      </c>
      <c r="F160">
        <v>19393</v>
      </c>
      <c r="G160">
        <v>3080</v>
      </c>
      <c r="H160" t="s">
        <v>93</v>
      </c>
      <c r="I160" t="s">
        <v>94</v>
      </c>
      <c r="J160" t="s">
        <v>91</v>
      </c>
      <c r="K160" t="s">
        <v>92</v>
      </c>
      <c r="L160">
        <v>1850</v>
      </c>
      <c r="M160" s="2">
        <v>2022</v>
      </c>
      <c r="N160">
        <v>92</v>
      </c>
      <c r="O160" t="str">
        <f>IF(flights_sample_3m[[#This Row],[DEP_DELAY]]&lt;=15,"No delay",IF(flights_sample_3m[[#This Row],[DEP_DELAY]]&lt;=60,"Short Delay","Long Delay"))</f>
        <v>Long Delay</v>
      </c>
      <c r="P160" t="str">
        <f>IF(flights_sample_3m[[#This Row],[DEP_DELAY]]&lt;=15,"Delayed","On Time")</f>
        <v>On Time</v>
      </c>
      <c r="Q160">
        <v>11</v>
      </c>
      <c r="R160">
        <v>2033</v>
      </c>
      <c r="S160">
        <v>2137</v>
      </c>
      <c r="T160">
        <v>6</v>
      </c>
      <c r="U160">
        <v>2025</v>
      </c>
      <c r="V160" s="2">
        <v>2143</v>
      </c>
      <c r="W160">
        <v>78</v>
      </c>
      <c r="X160">
        <v>0</v>
      </c>
      <c r="Y160">
        <v>0</v>
      </c>
      <c r="Z160">
        <v>0</v>
      </c>
      <c r="AA160">
        <v>95</v>
      </c>
      <c r="AB160">
        <v>81</v>
      </c>
      <c r="AC160">
        <v>64</v>
      </c>
      <c r="AD160">
        <v>395</v>
      </c>
      <c r="AE160">
        <v>78</v>
      </c>
      <c r="AF160">
        <v>0</v>
      </c>
      <c r="AG160">
        <v>0</v>
      </c>
      <c r="AH160">
        <v>0</v>
      </c>
      <c r="AI160">
        <v>0</v>
      </c>
    </row>
    <row r="161" spans="1:35" x14ac:dyDescent="0.3">
      <c r="A161" s="1">
        <v>43884</v>
      </c>
      <c r="B161" s="1" t="str">
        <f>TEXT(flights_sample_3m[[#This Row],[FL_DATE]],"yyyy-mm")</f>
        <v>2020-02</v>
      </c>
      <c r="C161" t="s">
        <v>64</v>
      </c>
      <c r="D161" t="s">
        <v>65</v>
      </c>
      <c r="E161" t="s">
        <v>66</v>
      </c>
      <c r="F161">
        <v>19805</v>
      </c>
      <c r="G161">
        <v>833</v>
      </c>
      <c r="H161" t="s">
        <v>55</v>
      </c>
      <c r="I161" t="s">
        <v>56</v>
      </c>
      <c r="J161" t="s">
        <v>274</v>
      </c>
      <c r="K161" t="s">
        <v>275</v>
      </c>
      <c r="L161">
        <v>1435</v>
      </c>
      <c r="M161" s="2">
        <v>1529</v>
      </c>
      <c r="N161">
        <v>54</v>
      </c>
      <c r="O161" t="str">
        <f>IF(flights_sample_3m[[#This Row],[DEP_DELAY]]&lt;=15,"No delay",IF(flights_sample_3m[[#This Row],[DEP_DELAY]]&lt;=60,"Short Delay","Long Delay"))</f>
        <v>Short Delay</v>
      </c>
      <c r="P161" t="str">
        <f>IF(flights_sample_3m[[#This Row],[DEP_DELAY]]&lt;=15,"Delayed","On Time")</f>
        <v>On Time</v>
      </c>
      <c r="Q161">
        <v>15</v>
      </c>
      <c r="R161">
        <v>1544</v>
      </c>
      <c r="S161">
        <v>1641</v>
      </c>
      <c r="T161">
        <v>4</v>
      </c>
      <c r="U161">
        <v>1601</v>
      </c>
      <c r="V161" s="2">
        <v>1645</v>
      </c>
      <c r="W161">
        <v>44</v>
      </c>
      <c r="X161">
        <v>0</v>
      </c>
      <c r="Y161">
        <v>0</v>
      </c>
      <c r="Z161">
        <v>0</v>
      </c>
      <c r="AA161">
        <v>146</v>
      </c>
      <c r="AB161">
        <v>136</v>
      </c>
      <c r="AC161">
        <v>117</v>
      </c>
      <c r="AD161">
        <v>721</v>
      </c>
      <c r="AE161">
        <v>4</v>
      </c>
      <c r="AF161">
        <v>0</v>
      </c>
      <c r="AG161">
        <v>0</v>
      </c>
      <c r="AH161">
        <v>0</v>
      </c>
      <c r="AI161">
        <v>40</v>
      </c>
    </row>
    <row r="162" spans="1:35" x14ac:dyDescent="0.3">
      <c r="A162" s="1">
        <v>44969</v>
      </c>
      <c r="B162" s="1" t="str">
        <f>TEXT(flights_sample_3m[[#This Row],[FL_DATE]],"yyyy-mm")</f>
        <v>2023-02</v>
      </c>
      <c r="C162" t="s">
        <v>57</v>
      </c>
      <c r="D162" t="s">
        <v>58</v>
      </c>
      <c r="E162" t="s">
        <v>59</v>
      </c>
      <c r="F162">
        <v>19393</v>
      </c>
      <c r="G162">
        <v>2160</v>
      </c>
      <c r="H162" t="s">
        <v>53</v>
      </c>
      <c r="I162" t="s">
        <v>54</v>
      </c>
      <c r="J162" t="s">
        <v>276</v>
      </c>
      <c r="K162" t="s">
        <v>277</v>
      </c>
      <c r="L162">
        <v>2010</v>
      </c>
      <c r="M162" s="2">
        <v>2005</v>
      </c>
      <c r="N162">
        <v>-5</v>
      </c>
      <c r="O162" t="str">
        <f>IF(flights_sample_3m[[#This Row],[DEP_DELAY]]&lt;=15,"No delay",IF(flights_sample_3m[[#This Row],[DEP_DELAY]]&lt;=60,"Short Delay","Long Delay"))</f>
        <v>No delay</v>
      </c>
      <c r="P162" t="str">
        <f>IF(flights_sample_3m[[#This Row],[DEP_DELAY]]&lt;=15,"Delayed","On Time")</f>
        <v>Delayed</v>
      </c>
      <c r="Q162">
        <v>10</v>
      </c>
      <c r="R162">
        <v>2015</v>
      </c>
      <c r="S162">
        <v>2225</v>
      </c>
      <c r="T162">
        <v>3</v>
      </c>
      <c r="U162">
        <v>2250</v>
      </c>
      <c r="V162" s="2">
        <v>2228</v>
      </c>
      <c r="W162">
        <v>-22</v>
      </c>
      <c r="X162">
        <v>0</v>
      </c>
      <c r="Y162">
        <v>0</v>
      </c>
      <c r="Z162">
        <v>0</v>
      </c>
      <c r="AA162">
        <v>160</v>
      </c>
      <c r="AB162">
        <v>143</v>
      </c>
      <c r="AC162">
        <v>130</v>
      </c>
      <c r="AD162">
        <v>1073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">
      <c r="A163" s="1">
        <v>44500</v>
      </c>
      <c r="B163" s="1" t="str">
        <f>TEXT(flights_sample_3m[[#This Row],[FL_DATE]],"yyyy-mm")</f>
        <v>2021-10</v>
      </c>
      <c r="C163" t="s">
        <v>148</v>
      </c>
      <c r="D163" t="s">
        <v>149</v>
      </c>
      <c r="E163" t="s">
        <v>150</v>
      </c>
      <c r="F163">
        <v>20304</v>
      </c>
      <c r="G163">
        <v>5664</v>
      </c>
      <c r="H163" t="s">
        <v>278</v>
      </c>
      <c r="I163" t="s">
        <v>279</v>
      </c>
      <c r="J163" t="s">
        <v>46</v>
      </c>
      <c r="K163" t="s">
        <v>47</v>
      </c>
      <c r="L163">
        <v>1530</v>
      </c>
      <c r="M163" s="2">
        <v>1523</v>
      </c>
      <c r="N163">
        <v>-7</v>
      </c>
      <c r="O163" t="str">
        <f>IF(flights_sample_3m[[#This Row],[DEP_DELAY]]&lt;=15,"No delay",IF(flights_sample_3m[[#This Row],[DEP_DELAY]]&lt;=60,"Short Delay","Long Delay"))</f>
        <v>No delay</v>
      </c>
      <c r="P163" t="str">
        <f>IF(flights_sample_3m[[#This Row],[DEP_DELAY]]&lt;=15,"Delayed","On Time")</f>
        <v>Delayed</v>
      </c>
      <c r="Q163">
        <v>9</v>
      </c>
      <c r="R163">
        <v>1532</v>
      </c>
      <c r="S163">
        <v>1731</v>
      </c>
      <c r="T163">
        <v>11</v>
      </c>
      <c r="U163">
        <v>1800</v>
      </c>
      <c r="V163" s="2">
        <v>1742</v>
      </c>
      <c r="W163">
        <v>-18</v>
      </c>
      <c r="X163">
        <v>0</v>
      </c>
      <c r="Y163">
        <v>0</v>
      </c>
      <c r="Z163">
        <v>0</v>
      </c>
      <c r="AA163">
        <v>270</v>
      </c>
      <c r="AB163">
        <v>259</v>
      </c>
      <c r="AC163">
        <v>239</v>
      </c>
      <c r="AD163">
        <v>1492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">
      <c r="A164" s="1">
        <v>45013</v>
      </c>
      <c r="B164" s="1" t="str">
        <f>TEXT(flights_sample_3m[[#This Row],[FL_DATE]],"yyyy-mm")</f>
        <v>2023-03</v>
      </c>
      <c r="C164" t="s">
        <v>71</v>
      </c>
      <c r="D164" t="s">
        <v>72</v>
      </c>
      <c r="E164" t="s">
        <v>73</v>
      </c>
      <c r="F164">
        <v>20452</v>
      </c>
      <c r="G164">
        <v>3428</v>
      </c>
      <c r="H164" t="s">
        <v>185</v>
      </c>
      <c r="I164" t="s">
        <v>186</v>
      </c>
      <c r="J164" t="s">
        <v>37</v>
      </c>
      <c r="K164" t="s">
        <v>38</v>
      </c>
      <c r="L164">
        <v>700</v>
      </c>
      <c r="M164" s="2">
        <v>653</v>
      </c>
      <c r="N164">
        <v>-7</v>
      </c>
      <c r="O164" t="str">
        <f>IF(flights_sample_3m[[#This Row],[DEP_DELAY]]&lt;=15,"No delay",IF(flights_sample_3m[[#This Row],[DEP_DELAY]]&lt;=60,"Short Delay","Long Delay"))</f>
        <v>No delay</v>
      </c>
      <c r="P164" t="str">
        <f>IF(flights_sample_3m[[#This Row],[DEP_DELAY]]&lt;=15,"Delayed","On Time")</f>
        <v>Delayed</v>
      </c>
      <c r="Q164">
        <v>11</v>
      </c>
      <c r="R164">
        <v>704</v>
      </c>
      <c r="S164">
        <v>811</v>
      </c>
      <c r="T164">
        <v>31</v>
      </c>
      <c r="U164">
        <v>859</v>
      </c>
      <c r="V164" s="2">
        <v>842</v>
      </c>
      <c r="W164">
        <v>-17</v>
      </c>
      <c r="X164">
        <v>0</v>
      </c>
      <c r="Y164">
        <v>0</v>
      </c>
      <c r="Z164">
        <v>0</v>
      </c>
      <c r="AA164">
        <v>119</v>
      </c>
      <c r="AB164">
        <v>109</v>
      </c>
      <c r="AC164">
        <v>67</v>
      </c>
      <c r="AD164">
        <v>463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">
      <c r="A165" s="1">
        <v>43490</v>
      </c>
      <c r="B165" s="1" t="str">
        <f>TEXT(flights_sample_3m[[#This Row],[FL_DATE]],"yyyy-mm")</f>
        <v>2019-01</v>
      </c>
      <c r="C165" t="s">
        <v>39</v>
      </c>
      <c r="D165" t="s">
        <v>40</v>
      </c>
      <c r="E165" t="s">
        <v>41</v>
      </c>
      <c r="F165">
        <v>19790</v>
      </c>
      <c r="G165">
        <v>1350</v>
      </c>
      <c r="H165" t="s">
        <v>280</v>
      </c>
      <c r="I165" t="s">
        <v>281</v>
      </c>
      <c r="J165" t="s">
        <v>85</v>
      </c>
      <c r="K165" t="s">
        <v>86</v>
      </c>
      <c r="L165">
        <v>1705</v>
      </c>
      <c r="M165" s="2">
        <v>1700</v>
      </c>
      <c r="N165">
        <v>-5</v>
      </c>
      <c r="O165" t="str">
        <f>IF(flights_sample_3m[[#This Row],[DEP_DELAY]]&lt;=15,"No delay",IF(flights_sample_3m[[#This Row],[DEP_DELAY]]&lt;=60,"Short Delay","Long Delay"))</f>
        <v>No delay</v>
      </c>
      <c r="P165" t="str">
        <f>IF(flights_sample_3m[[#This Row],[DEP_DELAY]]&lt;=15,"Delayed","On Time")</f>
        <v>Delayed</v>
      </c>
      <c r="Q165">
        <v>11</v>
      </c>
      <c r="R165">
        <v>1711</v>
      </c>
      <c r="S165">
        <v>1952</v>
      </c>
      <c r="T165">
        <v>7</v>
      </c>
      <c r="U165">
        <v>2020</v>
      </c>
      <c r="V165" s="2">
        <v>1959</v>
      </c>
      <c r="W165">
        <v>-21</v>
      </c>
      <c r="X165">
        <v>0</v>
      </c>
      <c r="Y165">
        <v>0</v>
      </c>
      <c r="Z165">
        <v>0</v>
      </c>
      <c r="AA165">
        <v>135</v>
      </c>
      <c r="AB165">
        <v>119</v>
      </c>
      <c r="AC165">
        <v>101</v>
      </c>
      <c r="AD165">
        <v>707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">
      <c r="A166" s="1">
        <v>43573</v>
      </c>
      <c r="B166" s="1" t="str">
        <f>TEXT(flights_sample_3m[[#This Row],[FL_DATE]],"yyyy-mm")</f>
        <v>2019-04</v>
      </c>
      <c r="C166" t="s">
        <v>57</v>
      </c>
      <c r="D166" t="s">
        <v>58</v>
      </c>
      <c r="E166" t="s">
        <v>59</v>
      </c>
      <c r="F166">
        <v>19393</v>
      </c>
      <c r="G166">
        <v>32</v>
      </c>
      <c r="H166" t="s">
        <v>157</v>
      </c>
      <c r="I166" t="s">
        <v>158</v>
      </c>
      <c r="J166" t="s">
        <v>46</v>
      </c>
      <c r="K166" t="s">
        <v>47</v>
      </c>
      <c r="L166">
        <v>1920</v>
      </c>
      <c r="M166" s="2">
        <v>2020</v>
      </c>
      <c r="N166">
        <v>60</v>
      </c>
      <c r="O166" t="str">
        <f>IF(flights_sample_3m[[#This Row],[DEP_DELAY]]&lt;=15,"No delay",IF(flights_sample_3m[[#This Row],[DEP_DELAY]]&lt;=60,"Short Delay","Long Delay"))</f>
        <v>Short Delay</v>
      </c>
      <c r="P166" t="str">
        <f>IF(flights_sample_3m[[#This Row],[DEP_DELAY]]&lt;=15,"Delayed","On Time")</f>
        <v>On Time</v>
      </c>
      <c r="Q166">
        <v>7</v>
      </c>
      <c r="R166">
        <v>2027</v>
      </c>
      <c r="S166">
        <v>2038</v>
      </c>
      <c r="T166">
        <v>6</v>
      </c>
      <c r="U166">
        <v>2000</v>
      </c>
      <c r="V166" s="2">
        <v>2044</v>
      </c>
      <c r="W166">
        <v>44</v>
      </c>
      <c r="X166">
        <v>0</v>
      </c>
      <c r="Y166">
        <v>0</v>
      </c>
      <c r="Z166">
        <v>0</v>
      </c>
      <c r="AA166">
        <v>160</v>
      </c>
      <c r="AB166">
        <v>144</v>
      </c>
      <c r="AC166">
        <v>131</v>
      </c>
      <c r="AD166">
        <v>977</v>
      </c>
      <c r="AE166">
        <v>10</v>
      </c>
      <c r="AF166">
        <v>0</v>
      </c>
      <c r="AG166">
        <v>0</v>
      </c>
      <c r="AH166">
        <v>0</v>
      </c>
      <c r="AI166">
        <v>34</v>
      </c>
    </row>
    <row r="167" spans="1:35" x14ac:dyDescent="0.3">
      <c r="A167" s="1">
        <v>43802</v>
      </c>
      <c r="B167" s="1" t="str">
        <f>TEXT(flights_sample_3m[[#This Row],[FL_DATE]],"yyyy-mm")</f>
        <v>2019-12</v>
      </c>
      <c r="C167" t="s">
        <v>120</v>
      </c>
      <c r="D167" t="s">
        <v>121</v>
      </c>
      <c r="E167" t="s">
        <v>122</v>
      </c>
      <c r="F167">
        <v>20397</v>
      </c>
      <c r="G167">
        <v>5685</v>
      </c>
      <c r="H167" t="s">
        <v>123</v>
      </c>
      <c r="I167" t="s">
        <v>124</v>
      </c>
      <c r="J167" t="s">
        <v>282</v>
      </c>
      <c r="K167" t="s">
        <v>283</v>
      </c>
      <c r="L167">
        <v>2000</v>
      </c>
      <c r="M167" s="2">
        <v>1954</v>
      </c>
      <c r="N167">
        <v>-6</v>
      </c>
      <c r="O167" t="str">
        <f>IF(flights_sample_3m[[#This Row],[DEP_DELAY]]&lt;=15,"No delay",IF(flights_sample_3m[[#This Row],[DEP_DELAY]]&lt;=60,"Short Delay","Long Delay"))</f>
        <v>No delay</v>
      </c>
      <c r="P167" t="str">
        <f>IF(flights_sample_3m[[#This Row],[DEP_DELAY]]&lt;=15,"Delayed","On Time")</f>
        <v>Delayed</v>
      </c>
      <c r="Q167">
        <v>12</v>
      </c>
      <c r="R167">
        <v>2006</v>
      </c>
      <c r="S167">
        <v>2043</v>
      </c>
      <c r="T167">
        <v>2</v>
      </c>
      <c r="U167">
        <v>2102</v>
      </c>
      <c r="V167" s="2">
        <v>2045</v>
      </c>
      <c r="W167">
        <v>-17</v>
      </c>
      <c r="X167">
        <v>0</v>
      </c>
      <c r="Y167">
        <v>0</v>
      </c>
      <c r="Z167">
        <v>0</v>
      </c>
      <c r="AA167">
        <v>62</v>
      </c>
      <c r="AB167">
        <v>51</v>
      </c>
      <c r="AC167">
        <v>37</v>
      </c>
      <c r="AD167">
        <v>221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">
      <c r="A168" s="1">
        <v>44552</v>
      </c>
      <c r="B168" s="1" t="str">
        <f>TEXT(flights_sample_3m[[#This Row],[FL_DATE]],"yyyy-mm")</f>
        <v>2021-12</v>
      </c>
      <c r="C168" t="s">
        <v>32</v>
      </c>
      <c r="D168" t="s">
        <v>33</v>
      </c>
      <c r="E168" t="s">
        <v>34</v>
      </c>
      <c r="F168">
        <v>19977</v>
      </c>
      <c r="G168">
        <v>310</v>
      </c>
      <c r="H168" t="s">
        <v>37</v>
      </c>
      <c r="I168" t="s">
        <v>38</v>
      </c>
      <c r="J168" t="s">
        <v>48</v>
      </c>
      <c r="K168" t="s">
        <v>49</v>
      </c>
      <c r="L168">
        <v>830</v>
      </c>
      <c r="M168" s="2">
        <v>911</v>
      </c>
      <c r="N168">
        <v>41</v>
      </c>
      <c r="O168" t="str">
        <f>IF(flights_sample_3m[[#This Row],[DEP_DELAY]]&lt;=15,"No delay",IF(flights_sample_3m[[#This Row],[DEP_DELAY]]&lt;=60,"Short Delay","Long Delay"))</f>
        <v>Short Delay</v>
      </c>
      <c r="P168" t="str">
        <f>IF(flights_sample_3m[[#This Row],[DEP_DELAY]]&lt;=15,"Delayed","On Time")</f>
        <v>On Time</v>
      </c>
      <c r="Q168">
        <v>33</v>
      </c>
      <c r="R168">
        <v>944</v>
      </c>
      <c r="S168">
        <v>1228</v>
      </c>
      <c r="T168">
        <v>6</v>
      </c>
      <c r="U168">
        <v>1155</v>
      </c>
      <c r="V168" s="2">
        <v>1234</v>
      </c>
      <c r="W168">
        <v>39</v>
      </c>
      <c r="X168">
        <v>0</v>
      </c>
      <c r="Y168">
        <v>0</v>
      </c>
      <c r="Z168">
        <v>0</v>
      </c>
      <c r="AA168">
        <v>385</v>
      </c>
      <c r="AB168">
        <v>383</v>
      </c>
      <c r="AC168">
        <v>344</v>
      </c>
      <c r="AD168">
        <v>2565</v>
      </c>
      <c r="AE168">
        <v>38</v>
      </c>
      <c r="AF168">
        <v>0</v>
      </c>
      <c r="AG168">
        <v>0</v>
      </c>
      <c r="AH168">
        <v>0</v>
      </c>
      <c r="AI168">
        <v>1</v>
      </c>
    </row>
    <row r="169" spans="1:35" x14ac:dyDescent="0.3">
      <c r="A169" s="1">
        <v>43982</v>
      </c>
      <c r="B169" s="1" t="str">
        <f>TEXT(flights_sample_3m[[#This Row],[FL_DATE]],"yyyy-mm")</f>
        <v>2020-05</v>
      </c>
      <c r="C169" t="s">
        <v>148</v>
      </c>
      <c r="D169" t="s">
        <v>149</v>
      </c>
      <c r="E169" t="s">
        <v>150</v>
      </c>
      <c r="F169">
        <v>20304</v>
      </c>
      <c r="G169">
        <v>3793</v>
      </c>
      <c r="H169" t="s">
        <v>284</v>
      </c>
      <c r="I169" t="s">
        <v>285</v>
      </c>
      <c r="J169" t="s">
        <v>146</v>
      </c>
      <c r="K169" t="s">
        <v>147</v>
      </c>
      <c r="L169">
        <v>604</v>
      </c>
      <c r="M169" s="2">
        <v>559</v>
      </c>
      <c r="N169">
        <v>-5</v>
      </c>
      <c r="O169" t="str">
        <f>IF(flights_sample_3m[[#This Row],[DEP_DELAY]]&lt;=15,"No delay",IF(flights_sample_3m[[#This Row],[DEP_DELAY]]&lt;=60,"Short Delay","Long Delay"))</f>
        <v>No delay</v>
      </c>
      <c r="P169" t="str">
        <f>IF(flights_sample_3m[[#This Row],[DEP_DELAY]]&lt;=15,"Delayed","On Time")</f>
        <v>Delayed</v>
      </c>
      <c r="Q169">
        <v>12</v>
      </c>
      <c r="R169">
        <v>611</v>
      </c>
      <c r="S169">
        <v>822</v>
      </c>
      <c r="T169">
        <v>6</v>
      </c>
      <c r="U169">
        <v>841</v>
      </c>
      <c r="V169" s="2">
        <v>828</v>
      </c>
      <c r="W169">
        <v>-13</v>
      </c>
      <c r="X169">
        <v>0</v>
      </c>
      <c r="Y169">
        <v>0</v>
      </c>
      <c r="Z169">
        <v>0</v>
      </c>
      <c r="AA169">
        <v>97</v>
      </c>
      <c r="AB169">
        <v>89</v>
      </c>
      <c r="AC169">
        <v>71</v>
      </c>
      <c r="AD169">
        <v>501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">
      <c r="A170" s="1">
        <v>44866</v>
      </c>
      <c r="B170" s="1" t="str">
        <f>TEXT(flights_sample_3m[[#This Row],[FL_DATE]],"yyyy-mm")</f>
        <v>2022-11</v>
      </c>
      <c r="C170" t="s">
        <v>148</v>
      </c>
      <c r="D170" t="s">
        <v>149</v>
      </c>
      <c r="E170" t="s">
        <v>150</v>
      </c>
      <c r="F170">
        <v>20304</v>
      </c>
      <c r="G170">
        <v>5652</v>
      </c>
      <c r="H170" t="s">
        <v>106</v>
      </c>
      <c r="I170" t="s">
        <v>92</v>
      </c>
      <c r="J170" t="s">
        <v>286</v>
      </c>
      <c r="K170" t="s">
        <v>287</v>
      </c>
      <c r="L170">
        <v>2003</v>
      </c>
      <c r="M170" s="2">
        <v>2032</v>
      </c>
      <c r="N170">
        <v>29</v>
      </c>
      <c r="O170" t="str">
        <f>IF(flights_sample_3m[[#This Row],[DEP_DELAY]]&lt;=15,"No delay",IF(flights_sample_3m[[#This Row],[DEP_DELAY]]&lt;=60,"Short Delay","Long Delay"))</f>
        <v>Short Delay</v>
      </c>
      <c r="P170" t="str">
        <f>IF(flights_sample_3m[[#This Row],[DEP_DELAY]]&lt;=15,"Delayed","On Time")</f>
        <v>On Time</v>
      </c>
      <c r="Q170">
        <v>11</v>
      </c>
      <c r="R170">
        <v>2043</v>
      </c>
      <c r="S170">
        <v>2257</v>
      </c>
      <c r="T170">
        <v>4</v>
      </c>
      <c r="U170">
        <v>2301</v>
      </c>
      <c r="V170" s="2">
        <v>2301</v>
      </c>
      <c r="W170">
        <v>0</v>
      </c>
      <c r="X170">
        <v>0</v>
      </c>
      <c r="Y170">
        <v>0</v>
      </c>
      <c r="Z170">
        <v>0</v>
      </c>
      <c r="AA170">
        <v>118</v>
      </c>
      <c r="AB170">
        <v>89</v>
      </c>
      <c r="AC170">
        <v>74</v>
      </c>
      <c r="AD170">
        <v>536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">
      <c r="A171" s="1">
        <v>44335</v>
      </c>
      <c r="B171" s="1" t="str">
        <f>TEXT(flights_sample_3m[[#This Row],[FL_DATE]],"yyyy-mm")</f>
        <v>2021-05</v>
      </c>
      <c r="C171" t="s">
        <v>148</v>
      </c>
      <c r="D171" t="s">
        <v>149</v>
      </c>
      <c r="E171" t="s">
        <v>150</v>
      </c>
      <c r="F171">
        <v>20304</v>
      </c>
      <c r="G171">
        <v>4240</v>
      </c>
      <c r="H171" t="s">
        <v>288</v>
      </c>
      <c r="I171" t="s">
        <v>289</v>
      </c>
      <c r="J171" t="s">
        <v>42</v>
      </c>
      <c r="K171" t="s">
        <v>43</v>
      </c>
      <c r="L171">
        <v>815</v>
      </c>
      <c r="M171" s="2">
        <v>814</v>
      </c>
      <c r="N171">
        <v>-1</v>
      </c>
      <c r="O171" t="str">
        <f>IF(flights_sample_3m[[#This Row],[DEP_DELAY]]&lt;=15,"No delay",IF(flights_sample_3m[[#This Row],[DEP_DELAY]]&lt;=60,"Short Delay","Long Delay"))</f>
        <v>No delay</v>
      </c>
      <c r="P171" t="str">
        <f>IF(flights_sample_3m[[#This Row],[DEP_DELAY]]&lt;=15,"Delayed","On Time")</f>
        <v>Delayed</v>
      </c>
      <c r="Q171">
        <v>9</v>
      </c>
      <c r="R171">
        <v>823</v>
      </c>
      <c r="S171">
        <v>842</v>
      </c>
      <c r="T171">
        <v>5</v>
      </c>
      <c r="U171">
        <v>930</v>
      </c>
      <c r="V171" s="2">
        <v>847</v>
      </c>
      <c r="W171">
        <v>-43</v>
      </c>
      <c r="X171">
        <v>0</v>
      </c>
      <c r="Y171">
        <v>0</v>
      </c>
      <c r="Z171">
        <v>0</v>
      </c>
      <c r="AA171">
        <v>135</v>
      </c>
      <c r="AB171">
        <v>93</v>
      </c>
      <c r="AC171">
        <v>79</v>
      </c>
      <c r="AD171">
        <v>488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">
      <c r="A172" s="1">
        <v>44932</v>
      </c>
      <c r="B172" s="1" t="str">
        <f>TEXT(flights_sample_3m[[#This Row],[FL_DATE]],"yyyy-mm")</f>
        <v>2023-01</v>
      </c>
      <c r="C172" t="s">
        <v>39</v>
      </c>
      <c r="D172" t="s">
        <v>40</v>
      </c>
      <c r="E172" t="s">
        <v>41</v>
      </c>
      <c r="F172">
        <v>19790</v>
      </c>
      <c r="G172">
        <v>2064</v>
      </c>
      <c r="H172" t="s">
        <v>177</v>
      </c>
      <c r="I172" t="s">
        <v>111</v>
      </c>
      <c r="J172" t="s">
        <v>76</v>
      </c>
      <c r="K172" t="s">
        <v>77</v>
      </c>
      <c r="L172">
        <v>835</v>
      </c>
      <c r="M172" s="2">
        <v>829</v>
      </c>
      <c r="N172">
        <v>-6</v>
      </c>
      <c r="O172" t="str">
        <f>IF(flights_sample_3m[[#This Row],[DEP_DELAY]]&lt;=15,"No delay",IF(flights_sample_3m[[#This Row],[DEP_DELAY]]&lt;=60,"Short Delay","Long Delay"))</f>
        <v>No delay</v>
      </c>
      <c r="P172" t="str">
        <f>IF(flights_sample_3m[[#This Row],[DEP_DELAY]]&lt;=15,"Delayed","On Time")</f>
        <v>Delayed</v>
      </c>
      <c r="Q172">
        <v>18</v>
      </c>
      <c r="R172">
        <v>847</v>
      </c>
      <c r="S172">
        <v>1116</v>
      </c>
      <c r="T172">
        <v>11</v>
      </c>
      <c r="U172">
        <v>1209</v>
      </c>
      <c r="V172" s="2">
        <v>1127</v>
      </c>
      <c r="W172">
        <v>-42</v>
      </c>
      <c r="X172">
        <v>0</v>
      </c>
      <c r="Y172">
        <v>0</v>
      </c>
      <c r="Z172">
        <v>0</v>
      </c>
      <c r="AA172">
        <v>274</v>
      </c>
      <c r="AB172">
        <v>238</v>
      </c>
      <c r="AC172">
        <v>209</v>
      </c>
      <c r="AD172">
        <v>1416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">
      <c r="A173" s="1">
        <v>43718</v>
      </c>
      <c r="B173" s="1" t="str">
        <f>TEXT(flights_sample_3m[[#This Row],[FL_DATE]],"yyyy-mm")</f>
        <v>2019-09</v>
      </c>
      <c r="C173" t="s">
        <v>148</v>
      </c>
      <c r="D173" t="s">
        <v>149</v>
      </c>
      <c r="E173" t="s">
        <v>150</v>
      </c>
      <c r="F173">
        <v>20304</v>
      </c>
      <c r="G173">
        <v>3695</v>
      </c>
      <c r="H173" t="s">
        <v>290</v>
      </c>
      <c r="I173" t="s">
        <v>291</v>
      </c>
      <c r="J173" t="s">
        <v>170</v>
      </c>
      <c r="K173" t="s">
        <v>171</v>
      </c>
      <c r="L173">
        <v>935</v>
      </c>
      <c r="M173" s="2">
        <v>930</v>
      </c>
      <c r="N173">
        <v>-5</v>
      </c>
      <c r="O173" t="str">
        <f>IF(flights_sample_3m[[#This Row],[DEP_DELAY]]&lt;=15,"No delay",IF(flights_sample_3m[[#This Row],[DEP_DELAY]]&lt;=60,"Short Delay","Long Delay"))</f>
        <v>No delay</v>
      </c>
      <c r="P173" t="str">
        <f>IF(flights_sample_3m[[#This Row],[DEP_DELAY]]&lt;=15,"Delayed","On Time")</f>
        <v>Delayed</v>
      </c>
      <c r="Q173">
        <v>9</v>
      </c>
      <c r="R173">
        <v>939</v>
      </c>
      <c r="S173">
        <v>1000</v>
      </c>
      <c r="T173">
        <v>8</v>
      </c>
      <c r="U173">
        <v>1018</v>
      </c>
      <c r="V173" s="2">
        <v>1008</v>
      </c>
      <c r="W173">
        <v>-10</v>
      </c>
      <c r="X173">
        <v>0</v>
      </c>
      <c r="Y173">
        <v>0</v>
      </c>
      <c r="Z173">
        <v>0</v>
      </c>
      <c r="AA173">
        <v>43</v>
      </c>
      <c r="AB173">
        <v>38</v>
      </c>
      <c r="AC173">
        <v>21</v>
      </c>
      <c r="AD173">
        <v>74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 s="1">
        <v>44478</v>
      </c>
      <c r="B174" s="1" t="str">
        <f>TEXT(flights_sample_3m[[#This Row],[FL_DATE]],"yyyy-mm")</f>
        <v>2021-10</v>
      </c>
      <c r="C174" t="s">
        <v>64</v>
      </c>
      <c r="D174" t="s">
        <v>65</v>
      </c>
      <c r="E174" t="s">
        <v>66</v>
      </c>
      <c r="F174">
        <v>19805</v>
      </c>
      <c r="G174">
        <v>1008</v>
      </c>
      <c r="H174" t="s">
        <v>85</v>
      </c>
      <c r="I174" t="s">
        <v>86</v>
      </c>
      <c r="J174" t="s">
        <v>55</v>
      </c>
      <c r="K174" t="s">
        <v>56</v>
      </c>
      <c r="L174">
        <v>1628</v>
      </c>
      <c r="M174" s="2">
        <v>1627</v>
      </c>
      <c r="N174">
        <v>-1</v>
      </c>
      <c r="O174" t="str">
        <f>IF(flights_sample_3m[[#This Row],[DEP_DELAY]]&lt;=15,"No delay",IF(flights_sample_3m[[#This Row],[DEP_DELAY]]&lt;=60,"Short Delay","Long Delay"))</f>
        <v>No delay</v>
      </c>
      <c r="P174" t="str">
        <f>IF(flights_sample_3m[[#This Row],[DEP_DELAY]]&lt;=15,"Delayed","On Time")</f>
        <v>Delayed</v>
      </c>
      <c r="Q174">
        <v>16</v>
      </c>
      <c r="R174">
        <v>1643</v>
      </c>
      <c r="S174">
        <v>1734</v>
      </c>
      <c r="T174">
        <v>15</v>
      </c>
      <c r="U174">
        <v>1809</v>
      </c>
      <c r="V174" s="2">
        <v>1749</v>
      </c>
      <c r="W174">
        <v>-20</v>
      </c>
      <c r="X174">
        <v>0</v>
      </c>
      <c r="Y174">
        <v>0</v>
      </c>
      <c r="Z174">
        <v>0</v>
      </c>
      <c r="AA174">
        <v>161</v>
      </c>
      <c r="AB174">
        <v>142</v>
      </c>
      <c r="AC174">
        <v>111</v>
      </c>
      <c r="AD174">
        <v>731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">
      <c r="A175" s="1">
        <v>44048</v>
      </c>
      <c r="B175" s="1" t="str">
        <f>TEXT(flights_sample_3m[[#This Row],[FL_DATE]],"yyyy-mm")</f>
        <v>2020-08</v>
      </c>
      <c r="C175" t="s">
        <v>39</v>
      </c>
      <c r="D175" t="s">
        <v>40</v>
      </c>
      <c r="E175" t="s">
        <v>41</v>
      </c>
      <c r="F175">
        <v>19790</v>
      </c>
      <c r="G175">
        <v>373</v>
      </c>
      <c r="H175" t="s">
        <v>44</v>
      </c>
      <c r="I175" t="s">
        <v>45</v>
      </c>
      <c r="J175" t="s">
        <v>42</v>
      </c>
      <c r="K175" t="s">
        <v>43</v>
      </c>
      <c r="L175">
        <v>630</v>
      </c>
      <c r="M175" s="2">
        <v>624</v>
      </c>
      <c r="N175">
        <v>-6</v>
      </c>
      <c r="O175" t="str">
        <f>IF(flights_sample_3m[[#This Row],[DEP_DELAY]]&lt;=15,"No delay",IF(flights_sample_3m[[#This Row],[DEP_DELAY]]&lt;=60,"Short Delay","Long Delay"))</f>
        <v>No delay</v>
      </c>
      <c r="P175" t="str">
        <f>IF(flights_sample_3m[[#This Row],[DEP_DELAY]]&lt;=15,"Delayed","On Time")</f>
        <v>Delayed</v>
      </c>
      <c r="Q175">
        <v>15</v>
      </c>
      <c r="R175">
        <v>639</v>
      </c>
      <c r="S175">
        <v>1124</v>
      </c>
      <c r="T175">
        <v>2</v>
      </c>
      <c r="U175">
        <v>1136</v>
      </c>
      <c r="V175" s="2">
        <v>1126</v>
      </c>
      <c r="W175">
        <v>-10</v>
      </c>
      <c r="X175">
        <v>0</v>
      </c>
      <c r="Y175">
        <v>0</v>
      </c>
      <c r="Z175">
        <v>0</v>
      </c>
      <c r="AA175">
        <v>186</v>
      </c>
      <c r="AB175">
        <v>182</v>
      </c>
      <c r="AC175">
        <v>165</v>
      </c>
      <c r="AD175">
        <v>1399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">
      <c r="A176" s="1">
        <v>45155</v>
      </c>
      <c r="B176" s="1" t="str">
        <f>TEXT(flights_sample_3m[[#This Row],[FL_DATE]],"yyyy-mm")</f>
        <v>2023-08</v>
      </c>
      <c r="C176" t="s">
        <v>32</v>
      </c>
      <c r="D176" t="s">
        <v>33</v>
      </c>
      <c r="E176" t="s">
        <v>34</v>
      </c>
      <c r="F176">
        <v>19977</v>
      </c>
      <c r="G176">
        <v>573</v>
      </c>
      <c r="H176" t="s">
        <v>48</v>
      </c>
      <c r="I176" t="s">
        <v>49</v>
      </c>
      <c r="J176" t="s">
        <v>44</v>
      </c>
      <c r="K176" t="s">
        <v>45</v>
      </c>
      <c r="L176">
        <v>1035</v>
      </c>
      <c r="M176" s="2">
        <v>1059</v>
      </c>
      <c r="N176">
        <v>24</v>
      </c>
      <c r="O176" t="str">
        <f>IF(flights_sample_3m[[#This Row],[DEP_DELAY]]&lt;=15,"No delay",IF(flights_sample_3m[[#This Row],[DEP_DELAY]]&lt;=60,"Short Delay","Long Delay"))</f>
        <v>Short Delay</v>
      </c>
      <c r="P176" t="str">
        <f>IF(flights_sample_3m[[#This Row],[DEP_DELAY]]&lt;=15,"Delayed","On Time")</f>
        <v>On Time</v>
      </c>
      <c r="Q176">
        <v>27</v>
      </c>
      <c r="R176">
        <v>1126</v>
      </c>
      <c r="S176">
        <v>1257</v>
      </c>
      <c r="T176">
        <v>8</v>
      </c>
      <c r="U176">
        <v>1254</v>
      </c>
      <c r="V176" s="2">
        <v>1305</v>
      </c>
      <c r="W176">
        <v>11</v>
      </c>
      <c r="X176">
        <v>0</v>
      </c>
      <c r="Y176">
        <v>0</v>
      </c>
      <c r="Z176">
        <v>0</v>
      </c>
      <c r="AA176">
        <v>139</v>
      </c>
      <c r="AB176">
        <v>126</v>
      </c>
      <c r="AC176">
        <v>91</v>
      </c>
      <c r="AD176">
        <v>679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">
      <c r="A177" s="1">
        <v>43825</v>
      </c>
      <c r="B177" s="1" t="str">
        <f>TEXT(flights_sample_3m[[#This Row],[FL_DATE]],"yyyy-mm")</f>
        <v>2019-12</v>
      </c>
      <c r="C177" t="s">
        <v>39</v>
      </c>
      <c r="D177" t="s">
        <v>40</v>
      </c>
      <c r="E177" t="s">
        <v>41</v>
      </c>
      <c r="F177">
        <v>19790</v>
      </c>
      <c r="G177">
        <v>1074</v>
      </c>
      <c r="H177" t="s">
        <v>258</v>
      </c>
      <c r="I177" t="s">
        <v>259</v>
      </c>
      <c r="J177" t="s">
        <v>44</v>
      </c>
      <c r="K177" t="s">
        <v>45</v>
      </c>
      <c r="L177">
        <v>1400</v>
      </c>
      <c r="M177" s="2">
        <v>1357</v>
      </c>
      <c r="N177">
        <v>-3</v>
      </c>
      <c r="O177" t="str">
        <f>IF(flights_sample_3m[[#This Row],[DEP_DELAY]]&lt;=15,"No delay",IF(flights_sample_3m[[#This Row],[DEP_DELAY]]&lt;=60,"Short Delay","Long Delay"))</f>
        <v>No delay</v>
      </c>
      <c r="P177" t="str">
        <f>IF(flights_sample_3m[[#This Row],[DEP_DELAY]]&lt;=15,"Delayed","On Time")</f>
        <v>Delayed</v>
      </c>
      <c r="Q177">
        <v>19</v>
      </c>
      <c r="R177">
        <v>1416</v>
      </c>
      <c r="S177">
        <v>2134</v>
      </c>
      <c r="T177">
        <v>9</v>
      </c>
      <c r="U177">
        <v>2153</v>
      </c>
      <c r="V177" s="2">
        <v>2143</v>
      </c>
      <c r="W177">
        <v>-10</v>
      </c>
      <c r="X177">
        <v>0</v>
      </c>
      <c r="Y177">
        <v>0</v>
      </c>
      <c r="Z177">
        <v>0</v>
      </c>
      <c r="AA177">
        <v>353</v>
      </c>
      <c r="AB177">
        <v>346</v>
      </c>
      <c r="AC177">
        <v>318</v>
      </c>
      <c r="AD177">
        <v>2677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">
      <c r="A178" s="1">
        <v>44880</v>
      </c>
      <c r="B178" s="1" t="str">
        <f>TEXT(flights_sample_3m[[#This Row],[FL_DATE]],"yyyy-mm")</f>
        <v>2022-11</v>
      </c>
      <c r="C178" t="s">
        <v>182</v>
      </c>
      <c r="D178" t="s">
        <v>183</v>
      </c>
      <c r="E178" t="s">
        <v>184</v>
      </c>
      <c r="F178">
        <v>20398</v>
      </c>
      <c r="G178">
        <v>3605</v>
      </c>
      <c r="H178" t="s">
        <v>93</v>
      </c>
      <c r="I178" t="s">
        <v>94</v>
      </c>
      <c r="J178" t="s">
        <v>159</v>
      </c>
      <c r="K178" t="s">
        <v>160</v>
      </c>
      <c r="L178">
        <v>1630</v>
      </c>
      <c r="M178" s="2">
        <v>1627</v>
      </c>
      <c r="N178">
        <v>-3</v>
      </c>
      <c r="O178" t="str">
        <f>IF(flights_sample_3m[[#This Row],[DEP_DELAY]]&lt;=15,"No delay",IF(flights_sample_3m[[#This Row],[DEP_DELAY]]&lt;=60,"Short Delay","Long Delay"))</f>
        <v>No delay</v>
      </c>
      <c r="P178" t="str">
        <f>IF(flights_sample_3m[[#This Row],[DEP_DELAY]]&lt;=15,"Delayed","On Time")</f>
        <v>Delayed</v>
      </c>
      <c r="Q178">
        <v>11</v>
      </c>
      <c r="R178">
        <v>1638</v>
      </c>
      <c r="S178">
        <v>1903</v>
      </c>
      <c r="T178">
        <v>4</v>
      </c>
      <c r="U178">
        <v>1918</v>
      </c>
      <c r="V178" s="2">
        <v>1907</v>
      </c>
      <c r="W178">
        <v>-11</v>
      </c>
      <c r="X178">
        <v>0</v>
      </c>
      <c r="Y178">
        <v>0</v>
      </c>
      <c r="Z178">
        <v>0</v>
      </c>
      <c r="AA178">
        <v>108</v>
      </c>
      <c r="AB178">
        <v>100</v>
      </c>
      <c r="AC178">
        <v>85</v>
      </c>
      <c r="AD178">
        <v>612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">
      <c r="A179" s="1">
        <v>44128</v>
      </c>
      <c r="B179" s="1" t="str">
        <f>TEXT(flights_sample_3m[[#This Row],[FL_DATE]],"yyyy-mm")</f>
        <v>2020-10</v>
      </c>
      <c r="C179" t="s">
        <v>57</v>
      </c>
      <c r="D179" t="s">
        <v>58</v>
      </c>
      <c r="E179" t="s">
        <v>59</v>
      </c>
      <c r="F179">
        <v>19393</v>
      </c>
      <c r="G179">
        <v>1399</v>
      </c>
      <c r="H179" t="s">
        <v>46</v>
      </c>
      <c r="I179" t="s">
        <v>47</v>
      </c>
      <c r="J179" t="s">
        <v>85</v>
      </c>
      <c r="K179" t="s">
        <v>86</v>
      </c>
      <c r="L179">
        <v>1130</v>
      </c>
      <c r="M179" s="2">
        <v>1127</v>
      </c>
      <c r="N179">
        <v>-3</v>
      </c>
      <c r="O179" t="str">
        <f>IF(flights_sample_3m[[#This Row],[DEP_DELAY]]&lt;=15,"No delay",IF(flights_sample_3m[[#This Row],[DEP_DELAY]]&lt;=60,"Short Delay","Long Delay"))</f>
        <v>No delay</v>
      </c>
      <c r="P179" t="str">
        <f>IF(flights_sample_3m[[#This Row],[DEP_DELAY]]&lt;=15,"Delayed","On Time")</f>
        <v>Delayed</v>
      </c>
      <c r="Q179">
        <v>11</v>
      </c>
      <c r="R179">
        <v>1138</v>
      </c>
      <c r="S179">
        <v>1601</v>
      </c>
      <c r="T179">
        <v>7</v>
      </c>
      <c r="U179">
        <v>1625</v>
      </c>
      <c r="V179" s="2">
        <v>1608</v>
      </c>
      <c r="W179">
        <v>-17</v>
      </c>
      <c r="X179">
        <v>0</v>
      </c>
      <c r="Y179">
        <v>0</v>
      </c>
      <c r="Z179">
        <v>0</v>
      </c>
      <c r="AA179">
        <v>175</v>
      </c>
      <c r="AB179">
        <v>161</v>
      </c>
      <c r="AC179">
        <v>143</v>
      </c>
      <c r="AD179">
        <v>1199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">
      <c r="A180" s="1">
        <v>44704</v>
      </c>
      <c r="B180" s="1" t="str">
        <f>TEXT(flights_sample_3m[[#This Row],[FL_DATE]],"yyyy-mm")</f>
        <v>2022-05</v>
      </c>
      <c r="C180" t="s">
        <v>64</v>
      </c>
      <c r="D180" t="s">
        <v>65</v>
      </c>
      <c r="E180" t="s">
        <v>66</v>
      </c>
      <c r="F180">
        <v>19805</v>
      </c>
      <c r="G180">
        <v>1541</v>
      </c>
      <c r="H180" t="s">
        <v>178</v>
      </c>
      <c r="I180" t="s">
        <v>179</v>
      </c>
      <c r="J180" t="s">
        <v>201</v>
      </c>
      <c r="K180" t="s">
        <v>202</v>
      </c>
      <c r="L180">
        <v>1623</v>
      </c>
      <c r="M180" s="2">
        <v>1614</v>
      </c>
      <c r="N180">
        <v>-9</v>
      </c>
      <c r="O180" t="str">
        <f>IF(flights_sample_3m[[#This Row],[DEP_DELAY]]&lt;=15,"No delay",IF(flights_sample_3m[[#This Row],[DEP_DELAY]]&lt;=60,"Short Delay","Long Delay"))</f>
        <v>No delay</v>
      </c>
      <c r="P180" t="str">
        <f>IF(flights_sample_3m[[#This Row],[DEP_DELAY]]&lt;=15,"Delayed","On Time")</f>
        <v>Delayed</v>
      </c>
      <c r="Q180">
        <v>12</v>
      </c>
      <c r="R180">
        <v>1626</v>
      </c>
      <c r="S180">
        <v>1748</v>
      </c>
      <c r="T180">
        <v>3</v>
      </c>
      <c r="U180">
        <v>1815</v>
      </c>
      <c r="V180" s="2">
        <v>1751</v>
      </c>
      <c r="W180">
        <v>-24</v>
      </c>
      <c r="X180">
        <v>0</v>
      </c>
      <c r="Y180">
        <v>0</v>
      </c>
      <c r="Z180">
        <v>0</v>
      </c>
      <c r="AA180">
        <v>112</v>
      </c>
      <c r="AB180">
        <v>97</v>
      </c>
      <c r="AC180">
        <v>82</v>
      </c>
      <c r="AD180">
        <v>647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">
      <c r="A181" s="1">
        <v>43766</v>
      </c>
      <c r="B181" s="1" t="str">
        <f>TEXT(flights_sample_3m[[#This Row],[FL_DATE]],"yyyy-mm")</f>
        <v>2019-10</v>
      </c>
      <c r="C181" t="s">
        <v>182</v>
      </c>
      <c r="D181" t="s">
        <v>183</v>
      </c>
      <c r="E181" t="s">
        <v>184</v>
      </c>
      <c r="F181">
        <v>20398</v>
      </c>
      <c r="G181">
        <v>3632</v>
      </c>
      <c r="H181" t="s">
        <v>292</v>
      </c>
      <c r="I181" t="s">
        <v>293</v>
      </c>
      <c r="J181" t="s">
        <v>55</v>
      </c>
      <c r="K181" t="s">
        <v>56</v>
      </c>
      <c r="L181">
        <v>755</v>
      </c>
      <c r="M181" s="2">
        <v>752</v>
      </c>
      <c r="N181">
        <v>-3</v>
      </c>
      <c r="O181" t="str">
        <f>IF(flights_sample_3m[[#This Row],[DEP_DELAY]]&lt;=15,"No delay",IF(flights_sample_3m[[#This Row],[DEP_DELAY]]&lt;=60,"Short Delay","Long Delay"))</f>
        <v>No delay</v>
      </c>
      <c r="P181" t="str">
        <f>IF(flights_sample_3m[[#This Row],[DEP_DELAY]]&lt;=15,"Delayed","On Time")</f>
        <v>Delayed</v>
      </c>
      <c r="Q181">
        <v>8</v>
      </c>
      <c r="R181">
        <v>800</v>
      </c>
      <c r="S181">
        <v>832</v>
      </c>
      <c r="T181">
        <v>8</v>
      </c>
      <c r="U181">
        <v>906</v>
      </c>
      <c r="V181" s="2">
        <v>840</v>
      </c>
      <c r="W181">
        <v>-26</v>
      </c>
      <c r="X181">
        <v>0</v>
      </c>
      <c r="Y181">
        <v>0</v>
      </c>
      <c r="Z181">
        <v>0</v>
      </c>
      <c r="AA181">
        <v>71</v>
      </c>
      <c r="AB181">
        <v>48</v>
      </c>
      <c r="AC181">
        <v>32</v>
      </c>
      <c r="AD181">
        <v>158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">
      <c r="A182" s="1">
        <v>44998</v>
      </c>
      <c r="B182" s="1" t="str">
        <f>TEXT(flights_sample_3m[[#This Row],[FL_DATE]],"yyyy-mm")</f>
        <v>2023-03</v>
      </c>
      <c r="C182" t="s">
        <v>107</v>
      </c>
      <c r="D182" t="s">
        <v>108</v>
      </c>
      <c r="E182" t="s">
        <v>109</v>
      </c>
      <c r="F182">
        <v>20409</v>
      </c>
      <c r="G182">
        <v>2539</v>
      </c>
      <c r="H182" t="s">
        <v>110</v>
      </c>
      <c r="I182" t="s">
        <v>111</v>
      </c>
      <c r="J182" t="s">
        <v>294</v>
      </c>
      <c r="K182" t="s">
        <v>295</v>
      </c>
      <c r="L182">
        <v>810</v>
      </c>
      <c r="M182" s="2">
        <v>856</v>
      </c>
      <c r="N182">
        <v>46</v>
      </c>
      <c r="O182" t="str">
        <f>IF(flights_sample_3m[[#This Row],[DEP_DELAY]]&lt;=15,"No delay",IF(flights_sample_3m[[#This Row],[DEP_DELAY]]&lt;=60,"Short Delay","Long Delay"))</f>
        <v>Short Delay</v>
      </c>
      <c r="P182" t="str">
        <f>IF(flights_sample_3m[[#This Row],[DEP_DELAY]]&lt;=15,"Delayed","On Time")</f>
        <v>On Time</v>
      </c>
      <c r="Q182">
        <v>26</v>
      </c>
      <c r="R182">
        <v>922</v>
      </c>
      <c r="S182">
        <v>1234</v>
      </c>
      <c r="T182">
        <v>11</v>
      </c>
      <c r="U182">
        <v>1207</v>
      </c>
      <c r="V182" s="2">
        <v>1245</v>
      </c>
      <c r="W182">
        <v>38</v>
      </c>
      <c r="X182">
        <v>0</v>
      </c>
      <c r="Y182">
        <v>0</v>
      </c>
      <c r="Z182">
        <v>0</v>
      </c>
      <c r="AA182">
        <v>237</v>
      </c>
      <c r="AB182">
        <v>229</v>
      </c>
      <c r="AC182">
        <v>192</v>
      </c>
      <c r="AD182">
        <v>1576</v>
      </c>
      <c r="AE182">
        <v>3</v>
      </c>
      <c r="AF182">
        <v>0</v>
      </c>
      <c r="AG182">
        <v>0</v>
      </c>
      <c r="AH182">
        <v>0</v>
      </c>
      <c r="AI182">
        <v>35</v>
      </c>
    </row>
    <row r="183" spans="1:35" x14ac:dyDescent="0.3">
      <c r="A183" s="1">
        <v>44255</v>
      </c>
      <c r="B183" s="1" t="str">
        <f>TEXT(flights_sample_3m[[#This Row],[FL_DATE]],"yyyy-mm")</f>
        <v>2021-02</v>
      </c>
      <c r="C183" t="s">
        <v>167</v>
      </c>
      <c r="D183" t="s">
        <v>168</v>
      </c>
      <c r="E183" t="s">
        <v>169</v>
      </c>
      <c r="F183">
        <v>20363</v>
      </c>
      <c r="G183">
        <v>4733</v>
      </c>
      <c r="H183" t="s">
        <v>296</v>
      </c>
      <c r="I183" t="s">
        <v>297</v>
      </c>
      <c r="J183" t="s">
        <v>42</v>
      </c>
      <c r="K183" t="s">
        <v>43</v>
      </c>
      <c r="L183">
        <v>1515</v>
      </c>
      <c r="M183" s="2">
        <v>1512</v>
      </c>
      <c r="N183">
        <v>-3</v>
      </c>
      <c r="O183" t="str">
        <f>IF(flights_sample_3m[[#This Row],[DEP_DELAY]]&lt;=15,"No delay",IF(flights_sample_3m[[#This Row],[DEP_DELAY]]&lt;=60,"Short Delay","Long Delay"))</f>
        <v>No delay</v>
      </c>
      <c r="P183" t="str">
        <f>IF(flights_sample_3m[[#This Row],[DEP_DELAY]]&lt;=15,"Delayed","On Time")</f>
        <v>Delayed</v>
      </c>
      <c r="Q183">
        <v>13</v>
      </c>
      <c r="R183">
        <v>1525</v>
      </c>
      <c r="S183">
        <v>1634</v>
      </c>
      <c r="T183">
        <v>4</v>
      </c>
      <c r="U183">
        <v>1712</v>
      </c>
      <c r="V183" s="2">
        <v>1638</v>
      </c>
      <c r="W183">
        <v>-34</v>
      </c>
      <c r="X183">
        <v>0</v>
      </c>
      <c r="Y183">
        <v>0</v>
      </c>
      <c r="Z183">
        <v>0</v>
      </c>
      <c r="AA183">
        <v>117</v>
      </c>
      <c r="AB183">
        <v>86</v>
      </c>
      <c r="AC183">
        <v>69</v>
      </c>
      <c r="AD183">
        <v>545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">
      <c r="A184" s="1">
        <v>44822</v>
      </c>
      <c r="B184" s="1" t="str">
        <f>TEXT(flights_sample_3m[[#This Row],[FL_DATE]],"yyyy-mm")</f>
        <v>2022-09</v>
      </c>
      <c r="C184" t="s">
        <v>64</v>
      </c>
      <c r="D184" t="s">
        <v>65</v>
      </c>
      <c r="E184" t="s">
        <v>66</v>
      </c>
      <c r="F184">
        <v>19805</v>
      </c>
      <c r="G184">
        <v>2481</v>
      </c>
      <c r="H184" t="s">
        <v>205</v>
      </c>
      <c r="I184" t="s">
        <v>206</v>
      </c>
      <c r="J184" t="s">
        <v>123</v>
      </c>
      <c r="K184" t="s">
        <v>124</v>
      </c>
      <c r="L184">
        <v>1539</v>
      </c>
      <c r="M184" s="2">
        <v>1554</v>
      </c>
      <c r="N184">
        <v>15</v>
      </c>
      <c r="O184" t="str">
        <f>IF(flights_sample_3m[[#This Row],[DEP_DELAY]]&lt;=15,"No delay",IF(flights_sample_3m[[#This Row],[DEP_DELAY]]&lt;=60,"Short Delay","Long Delay"))</f>
        <v>No delay</v>
      </c>
      <c r="P184" t="str">
        <f>IF(flights_sample_3m[[#This Row],[DEP_DELAY]]&lt;=15,"Delayed","On Time")</f>
        <v>Delayed</v>
      </c>
      <c r="Q184">
        <v>13</v>
      </c>
      <c r="R184">
        <v>1607</v>
      </c>
      <c r="S184">
        <v>1714</v>
      </c>
      <c r="T184">
        <v>5</v>
      </c>
      <c r="U184">
        <v>1727</v>
      </c>
      <c r="V184" s="2">
        <v>1719</v>
      </c>
      <c r="W184">
        <v>-8</v>
      </c>
      <c r="X184">
        <v>0</v>
      </c>
      <c r="Y184">
        <v>0</v>
      </c>
      <c r="Z184">
        <v>0</v>
      </c>
      <c r="AA184">
        <v>108</v>
      </c>
      <c r="AB184">
        <v>85</v>
      </c>
      <c r="AC184">
        <v>67</v>
      </c>
      <c r="AD184">
        <v>449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">
      <c r="A185" s="1">
        <v>43877</v>
      </c>
      <c r="B185" s="1" t="str">
        <f>TEXT(flights_sample_3m[[#This Row],[FL_DATE]],"yyyy-mm")</f>
        <v>2020-02</v>
      </c>
      <c r="C185" t="s">
        <v>167</v>
      </c>
      <c r="D185" t="s">
        <v>168</v>
      </c>
      <c r="E185" t="s">
        <v>169</v>
      </c>
      <c r="F185">
        <v>20363</v>
      </c>
      <c r="G185">
        <v>4801</v>
      </c>
      <c r="H185" t="s">
        <v>85</v>
      </c>
      <c r="I185" t="s">
        <v>86</v>
      </c>
      <c r="J185" t="s">
        <v>298</v>
      </c>
      <c r="K185" t="s">
        <v>299</v>
      </c>
      <c r="L185">
        <v>2230</v>
      </c>
      <c r="M185" s="2">
        <v>2224</v>
      </c>
      <c r="N185">
        <v>-6</v>
      </c>
      <c r="O185" t="str">
        <f>IF(flights_sample_3m[[#This Row],[DEP_DELAY]]&lt;=15,"No delay",IF(flights_sample_3m[[#This Row],[DEP_DELAY]]&lt;=60,"Short Delay","Long Delay"))</f>
        <v>No delay</v>
      </c>
      <c r="P185" t="str">
        <f>IF(flights_sample_3m[[#This Row],[DEP_DELAY]]&lt;=15,"Delayed","On Time")</f>
        <v>Delayed</v>
      </c>
      <c r="Q185">
        <v>52</v>
      </c>
      <c r="R185">
        <v>2316</v>
      </c>
      <c r="S185">
        <v>2313</v>
      </c>
      <c r="T185">
        <v>5</v>
      </c>
      <c r="U185">
        <v>2255</v>
      </c>
      <c r="V185" s="2">
        <v>2318</v>
      </c>
      <c r="W185">
        <v>23</v>
      </c>
      <c r="X185">
        <v>0</v>
      </c>
      <c r="Y185">
        <v>0</v>
      </c>
      <c r="Z185">
        <v>0</v>
      </c>
      <c r="AA185">
        <v>85</v>
      </c>
      <c r="AB185">
        <v>114</v>
      </c>
      <c r="AC185">
        <v>57</v>
      </c>
      <c r="AD185">
        <v>302</v>
      </c>
      <c r="AE185">
        <v>0</v>
      </c>
      <c r="AF185">
        <v>0</v>
      </c>
      <c r="AG185">
        <v>23</v>
      </c>
      <c r="AH185">
        <v>0</v>
      </c>
      <c r="AI185">
        <v>0</v>
      </c>
    </row>
    <row r="186" spans="1:35" x14ac:dyDescent="0.3">
      <c r="A186" s="1">
        <v>44364</v>
      </c>
      <c r="B186" s="1" t="str">
        <f>TEXT(flights_sample_3m[[#This Row],[FL_DATE]],"yyyy-mm")</f>
        <v>2021-06</v>
      </c>
      <c r="C186" t="s">
        <v>253</v>
      </c>
      <c r="D186" t="s">
        <v>254</v>
      </c>
      <c r="E186" t="s">
        <v>255</v>
      </c>
      <c r="F186">
        <v>19687</v>
      </c>
      <c r="G186">
        <v>2317</v>
      </c>
      <c r="H186" t="s">
        <v>78</v>
      </c>
      <c r="I186" t="s">
        <v>79</v>
      </c>
      <c r="J186" t="s">
        <v>151</v>
      </c>
      <c r="K186" t="s">
        <v>152</v>
      </c>
      <c r="L186">
        <v>1715</v>
      </c>
      <c r="M186" s="2">
        <v>1709</v>
      </c>
      <c r="N186">
        <v>-6</v>
      </c>
      <c r="O186" t="str">
        <f>IF(flights_sample_3m[[#This Row],[DEP_DELAY]]&lt;=15,"No delay",IF(flights_sample_3m[[#This Row],[DEP_DELAY]]&lt;=60,"Short Delay","Long Delay"))</f>
        <v>No delay</v>
      </c>
      <c r="P186" t="str">
        <f>IF(flights_sample_3m[[#This Row],[DEP_DELAY]]&lt;=15,"Delayed","On Time")</f>
        <v>Delayed</v>
      </c>
      <c r="Q186">
        <v>13</v>
      </c>
      <c r="R186">
        <v>1722</v>
      </c>
      <c r="S186">
        <v>1955</v>
      </c>
      <c r="T186">
        <v>7</v>
      </c>
      <c r="U186">
        <v>2020</v>
      </c>
      <c r="V186" s="2">
        <v>2002</v>
      </c>
      <c r="W186">
        <v>-18</v>
      </c>
      <c r="X186">
        <v>0</v>
      </c>
      <c r="Y186">
        <v>0</v>
      </c>
      <c r="Z186">
        <v>0</v>
      </c>
      <c r="AA186">
        <v>125</v>
      </c>
      <c r="AB186">
        <v>113</v>
      </c>
      <c r="AC186">
        <v>93</v>
      </c>
      <c r="AD186">
        <v>674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">
      <c r="A187" s="1">
        <v>44825</v>
      </c>
      <c r="B187" s="1" t="str">
        <f>TEXT(flights_sample_3m[[#This Row],[FL_DATE]],"yyyy-mm")</f>
        <v>2022-09</v>
      </c>
      <c r="C187" t="s">
        <v>71</v>
      </c>
      <c r="D187" t="s">
        <v>72</v>
      </c>
      <c r="E187" t="s">
        <v>73</v>
      </c>
      <c r="F187">
        <v>20452</v>
      </c>
      <c r="G187">
        <v>5622</v>
      </c>
      <c r="H187" t="s">
        <v>67</v>
      </c>
      <c r="I187" t="s">
        <v>68</v>
      </c>
      <c r="J187" t="s">
        <v>177</v>
      </c>
      <c r="K187" t="s">
        <v>111</v>
      </c>
      <c r="L187">
        <v>800</v>
      </c>
      <c r="M187" s="2">
        <v>756</v>
      </c>
      <c r="N187">
        <v>-4</v>
      </c>
      <c r="O187" t="str">
        <f>IF(flights_sample_3m[[#This Row],[DEP_DELAY]]&lt;=15,"No delay",IF(flights_sample_3m[[#This Row],[DEP_DELAY]]&lt;=60,"Short Delay","Long Delay"))</f>
        <v>No delay</v>
      </c>
      <c r="P187" t="str">
        <f>IF(flights_sample_3m[[#This Row],[DEP_DELAY]]&lt;=15,"Delayed","On Time")</f>
        <v>Delayed</v>
      </c>
      <c r="Q187">
        <v>15</v>
      </c>
      <c r="R187">
        <v>811</v>
      </c>
      <c r="S187">
        <v>854</v>
      </c>
      <c r="T187">
        <v>17</v>
      </c>
      <c r="U187">
        <v>919</v>
      </c>
      <c r="V187" s="2">
        <v>911</v>
      </c>
      <c r="W187">
        <v>-8</v>
      </c>
      <c r="X187">
        <v>0</v>
      </c>
      <c r="Y187">
        <v>0</v>
      </c>
      <c r="Z187">
        <v>0</v>
      </c>
      <c r="AA187">
        <v>79</v>
      </c>
      <c r="AB187">
        <v>75</v>
      </c>
      <c r="AC187">
        <v>43</v>
      </c>
      <c r="AD187">
        <v>214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">
      <c r="A188" s="1">
        <v>43933</v>
      </c>
      <c r="B188" s="1" t="str">
        <f>TEXT(flights_sample_3m[[#This Row],[FL_DATE]],"yyyy-mm")</f>
        <v>2020-04</v>
      </c>
      <c r="C188" t="s">
        <v>32</v>
      </c>
      <c r="D188" t="s">
        <v>33</v>
      </c>
      <c r="E188" t="s">
        <v>34</v>
      </c>
      <c r="F188">
        <v>19977</v>
      </c>
      <c r="G188">
        <v>2386</v>
      </c>
      <c r="H188" t="s">
        <v>35</v>
      </c>
      <c r="I188" t="s">
        <v>36</v>
      </c>
      <c r="J188" t="s">
        <v>106</v>
      </c>
      <c r="K188" t="s">
        <v>92</v>
      </c>
      <c r="L188">
        <v>1618</v>
      </c>
      <c r="M188" s="2">
        <v>1605</v>
      </c>
      <c r="N188">
        <v>-13</v>
      </c>
      <c r="O188" t="str">
        <f>IF(flights_sample_3m[[#This Row],[DEP_DELAY]]&lt;=15,"No delay",IF(flights_sample_3m[[#This Row],[DEP_DELAY]]&lt;=60,"Short Delay","Long Delay"))</f>
        <v>No delay</v>
      </c>
      <c r="P188" t="str">
        <f>IF(flights_sample_3m[[#This Row],[DEP_DELAY]]&lt;=15,"Delayed","On Time")</f>
        <v>Delayed</v>
      </c>
      <c r="Q188">
        <v>13</v>
      </c>
      <c r="R188">
        <v>1618</v>
      </c>
      <c r="S188">
        <v>1759</v>
      </c>
      <c r="T188">
        <v>17</v>
      </c>
      <c r="U188">
        <v>1850</v>
      </c>
      <c r="V188" s="2">
        <v>1816</v>
      </c>
      <c r="W188">
        <v>-34</v>
      </c>
      <c r="X188">
        <v>0</v>
      </c>
      <c r="Y188">
        <v>0</v>
      </c>
      <c r="Z188">
        <v>0</v>
      </c>
      <c r="AA188">
        <v>212</v>
      </c>
      <c r="AB188">
        <v>191</v>
      </c>
      <c r="AC188">
        <v>161</v>
      </c>
      <c r="AD188">
        <v>1182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">
      <c r="A189" s="1">
        <v>44047</v>
      </c>
      <c r="B189" s="1" t="str">
        <f>TEXT(flights_sample_3m[[#This Row],[FL_DATE]],"yyyy-mm")</f>
        <v>2020-08</v>
      </c>
      <c r="C189" t="s">
        <v>32</v>
      </c>
      <c r="D189" t="s">
        <v>33</v>
      </c>
      <c r="E189" t="s">
        <v>34</v>
      </c>
      <c r="F189">
        <v>19977</v>
      </c>
      <c r="G189">
        <v>2022</v>
      </c>
      <c r="H189" t="s">
        <v>146</v>
      </c>
      <c r="I189" t="s">
        <v>147</v>
      </c>
      <c r="J189" t="s">
        <v>76</v>
      </c>
      <c r="K189" t="s">
        <v>77</v>
      </c>
      <c r="L189">
        <v>1345</v>
      </c>
      <c r="M189" s="2">
        <v>1324</v>
      </c>
      <c r="N189">
        <v>-21</v>
      </c>
      <c r="O189" t="str">
        <f>IF(flights_sample_3m[[#This Row],[DEP_DELAY]]&lt;=15,"No delay",IF(flights_sample_3m[[#This Row],[DEP_DELAY]]&lt;=60,"Short Delay","Long Delay"))</f>
        <v>No delay</v>
      </c>
      <c r="P189" t="str">
        <f>IF(flights_sample_3m[[#This Row],[DEP_DELAY]]&lt;=15,"Delayed","On Time")</f>
        <v>Delayed</v>
      </c>
      <c r="Q189">
        <v>11</v>
      </c>
      <c r="R189">
        <v>1335</v>
      </c>
      <c r="S189">
        <v>1701</v>
      </c>
      <c r="T189">
        <v>7</v>
      </c>
      <c r="U189">
        <v>1737</v>
      </c>
      <c r="V189" s="2">
        <v>1708</v>
      </c>
      <c r="W189">
        <v>-29</v>
      </c>
      <c r="X189">
        <v>0</v>
      </c>
      <c r="Y189">
        <v>0</v>
      </c>
      <c r="Z189">
        <v>0</v>
      </c>
      <c r="AA189">
        <v>172</v>
      </c>
      <c r="AB189">
        <v>164</v>
      </c>
      <c r="AC189">
        <v>146</v>
      </c>
      <c r="AD189">
        <v>1195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">
      <c r="A190" s="1">
        <v>43800</v>
      </c>
      <c r="B190" s="1" t="str">
        <f>TEXT(flights_sample_3m[[#This Row],[FL_DATE]],"yyyy-mm")</f>
        <v>2019-12</v>
      </c>
      <c r="C190" t="s">
        <v>57</v>
      </c>
      <c r="D190" t="s">
        <v>58</v>
      </c>
      <c r="E190" t="s">
        <v>59</v>
      </c>
      <c r="F190">
        <v>19393</v>
      </c>
      <c r="G190">
        <v>5063</v>
      </c>
      <c r="H190" t="s">
        <v>89</v>
      </c>
      <c r="I190" t="s">
        <v>90</v>
      </c>
      <c r="J190" t="s">
        <v>129</v>
      </c>
      <c r="K190" t="s">
        <v>130</v>
      </c>
      <c r="L190">
        <v>1620</v>
      </c>
      <c r="M190" s="2">
        <v>2153</v>
      </c>
      <c r="N190">
        <v>333</v>
      </c>
      <c r="O190" t="str">
        <f>IF(flights_sample_3m[[#This Row],[DEP_DELAY]]&lt;=15,"No delay",IF(flights_sample_3m[[#This Row],[DEP_DELAY]]&lt;=60,"Short Delay","Long Delay"))</f>
        <v>Long Delay</v>
      </c>
      <c r="P190" t="str">
        <f>IF(flights_sample_3m[[#This Row],[DEP_DELAY]]&lt;=15,"Delayed","On Time")</f>
        <v>On Time</v>
      </c>
      <c r="Q190">
        <v>10</v>
      </c>
      <c r="R190">
        <v>2203</v>
      </c>
      <c r="S190">
        <v>9</v>
      </c>
      <c r="T190">
        <v>6</v>
      </c>
      <c r="U190">
        <v>1835</v>
      </c>
      <c r="V190" s="2">
        <v>15</v>
      </c>
      <c r="W190">
        <v>340</v>
      </c>
      <c r="X190">
        <v>0</v>
      </c>
      <c r="Y190">
        <v>0</v>
      </c>
      <c r="Z190">
        <v>0</v>
      </c>
      <c r="AA190">
        <v>315</v>
      </c>
      <c r="AB190">
        <v>322</v>
      </c>
      <c r="AC190">
        <v>306</v>
      </c>
      <c r="AD190">
        <v>2026</v>
      </c>
      <c r="AE190">
        <v>0</v>
      </c>
      <c r="AF190">
        <v>0</v>
      </c>
      <c r="AG190">
        <v>7</v>
      </c>
      <c r="AH190">
        <v>0</v>
      </c>
      <c r="AI190">
        <v>333</v>
      </c>
    </row>
    <row r="191" spans="1:35" x14ac:dyDescent="0.3">
      <c r="A191" s="1">
        <v>43795</v>
      </c>
      <c r="B191" s="1" t="str">
        <f>TEXT(flights_sample_3m[[#This Row],[FL_DATE]],"yyyy-mm")</f>
        <v>2019-11</v>
      </c>
      <c r="C191" t="s">
        <v>39</v>
      </c>
      <c r="D191" t="s">
        <v>40</v>
      </c>
      <c r="E191" t="s">
        <v>41</v>
      </c>
      <c r="F191">
        <v>19790</v>
      </c>
      <c r="G191">
        <v>347</v>
      </c>
      <c r="H191" t="s">
        <v>110</v>
      </c>
      <c r="I191" t="s">
        <v>111</v>
      </c>
      <c r="J191" t="s">
        <v>55</v>
      </c>
      <c r="K191" t="s">
        <v>56</v>
      </c>
      <c r="L191">
        <v>1820</v>
      </c>
      <c r="M191" s="2">
        <v>1819</v>
      </c>
      <c r="N191">
        <v>-1</v>
      </c>
      <c r="O191" t="str">
        <f>IF(flights_sample_3m[[#This Row],[DEP_DELAY]]&lt;=15,"No delay",IF(flights_sample_3m[[#This Row],[DEP_DELAY]]&lt;=60,"Short Delay","Long Delay"))</f>
        <v>No delay</v>
      </c>
      <c r="P191" t="str">
        <f>IF(flights_sample_3m[[#This Row],[DEP_DELAY]]&lt;=15,"Delayed","On Time")</f>
        <v>Delayed</v>
      </c>
      <c r="Q191">
        <v>29</v>
      </c>
      <c r="R191">
        <v>1848</v>
      </c>
      <c r="S191">
        <v>2136</v>
      </c>
      <c r="T191">
        <v>13</v>
      </c>
      <c r="U191">
        <v>2136</v>
      </c>
      <c r="V191" s="2">
        <v>2149</v>
      </c>
      <c r="W191">
        <v>13</v>
      </c>
      <c r="X191">
        <v>0</v>
      </c>
      <c r="Y191">
        <v>0</v>
      </c>
      <c r="Z191">
        <v>0</v>
      </c>
      <c r="AA191">
        <v>256</v>
      </c>
      <c r="AB191">
        <v>270</v>
      </c>
      <c r="AC191">
        <v>228</v>
      </c>
      <c r="AD191">
        <v>1391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">
      <c r="A192" s="1">
        <v>44946</v>
      </c>
      <c r="B192" s="1" t="str">
        <f>TEXT(flights_sample_3m[[#This Row],[FL_DATE]],"yyyy-mm")</f>
        <v>2023-01</v>
      </c>
      <c r="C192" t="s">
        <v>182</v>
      </c>
      <c r="D192" t="s">
        <v>183</v>
      </c>
      <c r="E192" t="s">
        <v>184</v>
      </c>
      <c r="F192">
        <v>20398</v>
      </c>
      <c r="G192">
        <v>3577</v>
      </c>
      <c r="H192" t="s">
        <v>300</v>
      </c>
      <c r="I192" t="s">
        <v>301</v>
      </c>
      <c r="J192" t="s">
        <v>106</v>
      </c>
      <c r="K192" t="s">
        <v>92</v>
      </c>
      <c r="L192">
        <v>600</v>
      </c>
      <c r="M192" s="2">
        <v>552</v>
      </c>
      <c r="N192">
        <v>-8</v>
      </c>
      <c r="O192" t="str">
        <f>IF(flights_sample_3m[[#This Row],[DEP_DELAY]]&lt;=15,"No delay",IF(flights_sample_3m[[#This Row],[DEP_DELAY]]&lt;=60,"Short Delay","Long Delay"))</f>
        <v>No delay</v>
      </c>
      <c r="P192" t="str">
        <f>IF(flights_sample_3m[[#This Row],[DEP_DELAY]]&lt;=15,"Delayed","On Time")</f>
        <v>Delayed</v>
      </c>
      <c r="Q192">
        <v>13</v>
      </c>
      <c r="R192">
        <v>605</v>
      </c>
      <c r="S192">
        <v>644</v>
      </c>
      <c r="T192">
        <v>8</v>
      </c>
      <c r="U192">
        <v>713</v>
      </c>
      <c r="V192" s="2">
        <v>652</v>
      </c>
      <c r="W192">
        <v>-21</v>
      </c>
      <c r="X192">
        <v>0</v>
      </c>
      <c r="Y192">
        <v>0</v>
      </c>
      <c r="Z192">
        <v>0</v>
      </c>
      <c r="AA192">
        <v>73</v>
      </c>
      <c r="AB192">
        <v>60</v>
      </c>
      <c r="AC192">
        <v>39</v>
      </c>
      <c r="AD192">
        <v>135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">
      <c r="A193" s="1">
        <v>44561</v>
      </c>
      <c r="B193" s="1" t="str">
        <f>TEXT(flights_sample_3m[[#This Row],[FL_DATE]],"yyyy-mm")</f>
        <v>2021-12</v>
      </c>
      <c r="C193" t="s">
        <v>80</v>
      </c>
      <c r="D193" t="s">
        <v>81</v>
      </c>
      <c r="E193" t="s">
        <v>82</v>
      </c>
      <c r="F193">
        <v>19930</v>
      </c>
      <c r="G193">
        <v>1097</v>
      </c>
      <c r="H193" t="s">
        <v>125</v>
      </c>
      <c r="I193" t="s">
        <v>68</v>
      </c>
      <c r="J193" t="s">
        <v>78</v>
      </c>
      <c r="K193" t="s">
        <v>79</v>
      </c>
      <c r="L193">
        <v>1720</v>
      </c>
      <c r="M193" s="2">
        <v>0</v>
      </c>
      <c r="N193">
        <v>0</v>
      </c>
      <c r="O193" t="str">
        <f>IF(flights_sample_3m[[#This Row],[DEP_DELAY]]&lt;=15,"No delay",IF(flights_sample_3m[[#This Row],[DEP_DELAY]]&lt;=60,"Short Delay","Long Delay"))</f>
        <v>No delay</v>
      </c>
      <c r="P193" t="str">
        <f>IF(flights_sample_3m[[#This Row],[DEP_DELAY]]&lt;=15,"Delayed","On Time")</f>
        <v>Delayed</v>
      </c>
      <c r="Q193">
        <v>0</v>
      </c>
      <c r="R193">
        <v>0</v>
      </c>
      <c r="S193">
        <v>0</v>
      </c>
      <c r="T193">
        <v>0</v>
      </c>
      <c r="U193">
        <v>2024</v>
      </c>
      <c r="V193" s="2">
        <v>0</v>
      </c>
      <c r="W193">
        <v>0</v>
      </c>
      <c r="X193">
        <v>1</v>
      </c>
      <c r="Y193" t="s">
        <v>302</v>
      </c>
      <c r="Z193">
        <v>0</v>
      </c>
      <c r="AA193">
        <v>364</v>
      </c>
      <c r="AB193">
        <v>0</v>
      </c>
      <c r="AC193">
        <v>0</v>
      </c>
      <c r="AD193">
        <v>2288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">
      <c r="A194" s="1">
        <v>44791</v>
      </c>
      <c r="B194" s="1" t="str">
        <f>TEXT(flights_sample_3m[[#This Row],[FL_DATE]],"yyyy-mm")</f>
        <v>2022-08</v>
      </c>
      <c r="C194" t="s">
        <v>182</v>
      </c>
      <c r="D194" t="s">
        <v>183</v>
      </c>
      <c r="E194" t="s">
        <v>184</v>
      </c>
      <c r="F194">
        <v>20398</v>
      </c>
      <c r="G194">
        <v>3899</v>
      </c>
      <c r="H194" t="s">
        <v>89</v>
      </c>
      <c r="I194" t="s">
        <v>90</v>
      </c>
      <c r="J194" t="s">
        <v>221</v>
      </c>
      <c r="K194" t="s">
        <v>222</v>
      </c>
      <c r="L194">
        <v>1638</v>
      </c>
      <c r="M194" s="2">
        <v>1640</v>
      </c>
      <c r="N194">
        <v>2</v>
      </c>
      <c r="O194" t="str">
        <f>IF(flights_sample_3m[[#This Row],[DEP_DELAY]]&lt;=15,"No delay",IF(flights_sample_3m[[#This Row],[DEP_DELAY]]&lt;=60,"Short Delay","Long Delay"))</f>
        <v>No delay</v>
      </c>
      <c r="P194" t="str">
        <f>IF(flights_sample_3m[[#This Row],[DEP_DELAY]]&lt;=15,"Delayed","On Time")</f>
        <v>Delayed</v>
      </c>
      <c r="Q194">
        <v>24</v>
      </c>
      <c r="R194">
        <v>1704</v>
      </c>
      <c r="S194">
        <v>1848</v>
      </c>
      <c r="T194">
        <v>6</v>
      </c>
      <c r="U194">
        <v>1850</v>
      </c>
      <c r="V194" s="2">
        <v>1854</v>
      </c>
      <c r="W194">
        <v>4</v>
      </c>
      <c r="X194">
        <v>0</v>
      </c>
      <c r="Y194">
        <v>0</v>
      </c>
      <c r="Z194">
        <v>0</v>
      </c>
      <c r="AA194">
        <v>132</v>
      </c>
      <c r="AB194">
        <v>134</v>
      </c>
      <c r="AC194">
        <v>104</v>
      </c>
      <c r="AD194">
        <v>700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">
      <c r="A195" s="1">
        <v>44728</v>
      </c>
      <c r="B195" s="1" t="str">
        <f>TEXT(flights_sample_3m[[#This Row],[FL_DATE]],"yyyy-mm")</f>
        <v>2022-06</v>
      </c>
      <c r="C195" t="s">
        <v>198</v>
      </c>
      <c r="D195" t="s">
        <v>199</v>
      </c>
      <c r="E195" t="s">
        <v>200</v>
      </c>
      <c r="F195">
        <v>20378</v>
      </c>
      <c r="G195">
        <v>6016</v>
      </c>
      <c r="H195" t="s">
        <v>260</v>
      </c>
      <c r="I195" t="s">
        <v>261</v>
      </c>
      <c r="J195" t="s">
        <v>76</v>
      </c>
      <c r="K195" t="s">
        <v>77</v>
      </c>
      <c r="L195">
        <v>1155</v>
      </c>
      <c r="M195" s="2">
        <v>1147</v>
      </c>
      <c r="N195">
        <v>-8</v>
      </c>
      <c r="O195" t="str">
        <f>IF(flights_sample_3m[[#This Row],[DEP_DELAY]]&lt;=15,"No delay",IF(flights_sample_3m[[#This Row],[DEP_DELAY]]&lt;=60,"Short Delay","Long Delay"))</f>
        <v>No delay</v>
      </c>
      <c r="P195" t="str">
        <f>IF(flights_sample_3m[[#This Row],[DEP_DELAY]]&lt;=15,"Delayed","On Time")</f>
        <v>Delayed</v>
      </c>
      <c r="Q195">
        <v>11</v>
      </c>
      <c r="R195">
        <v>1158</v>
      </c>
      <c r="S195">
        <v>1307</v>
      </c>
      <c r="T195">
        <v>4</v>
      </c>
      <c r="U195">
        <v>1333</v>
      </c>
      <c r="V195" s="2">
        <v>1311</v>
      </c>
      <c r="W195">
        <v>-22</v>
      </c>
      <c r="X195">
        <v>0</v>
      </c>
      <c r="Y195">
        <v>0</v>
      </c>
      <c r="Z195">
        <v>0</v>
      </c>
      <c r="AA195">
        <v>98</v>
      </c>
      <c r="AB195">
        <v>84</v>
      </c>
      <c r="AC195">
        <v>69</v>
      </c>
      <c r="AD195">
        <v>429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">
      <c r="A196" s="1">
        <v>43952</v>
      </c>
      <c r="B196" s="1" t="str">
        <f>TEXT(flights_sample_3m[[#This Row],[FL_DATE]],"yyyy-mm")</f>
        <v>2020-05</v>
      </c>
      <c r="C196" t="s">
        <v>32</v>
      </c>
      <c r="D196" t="s">
        <v>33</v>
      </c>
      <c r="E196" t="s">
        <v>34</v>
      </c>
      <c r="F196">
        <v>19977</v>
      </c>
      <c r="G196">
        <v>1056</v>
      </c>
      <c r="H196" t="s">
        <v>48</v>
      </c>
      <c r="I196" t="s">
        <v>49</v>
      </c>
      <c r="J196" t="s">
        <v>46</v>
      </c>
      <c r="K196" t="s">
        <v>47</v>
      </c>
      <c r="L196">
        <v>1520</v>
      </c>
      <c r="M196" s="2">
        <v>1524</v>
      </c>
      <c r="N196">
        <v>4</v>
      </c>
      <c r="O196" t="str">
        <f>IF(flights_sample_3m[[#This Row],[DEP_DELAY]]&lt;=15,"No delay",IF(flights_sample_3m[[#This Row],[DEP_DELAY]]&lt;=60,"Short Delay","Long Delay"))</f>
        <v>No delay</v>
      </c>
      <c r="P196" t="str">
        <f>IF(flights_sample_3m[[#This Row],[DEP_DELAY]]&lt;=15,"Delayed","On Time")</f>
        <v>Delayed</v>
      </c>
      <c r="Q196">
        <v>13</v>
      </c>
      <c r="R196">
        <v>1537</v>
      </c>
      <c r="S196">
        <v>1835</v>
      </c>
      <c r="T196">
        <v>4</v>
      </c>
      <c r="U196">
        <v>1856</v>
      </c>
      <c r="V196" s="2">
        <v>1839</v>
      </c>
      <c r="W196">
        <v>-17</v>
      </c>
      <c r="X196">
        <v>0</v>
      </c>
      <c r="Y196">
        <v>0</v>
      </c>
      <c r="Z196">
        <v>0</v>
      </c>
      <c r="AA196">
        <v>156</v>
      </c>
      <c r="AB196">
        <v>135</v>
      </c>
      <c r="AC196">
        <v>118</v>
      </c>
      <c r="AD196">
        <v>967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">
      <c r="A197" s="1">
        <v>44494</v>
      </c>
      <c r="B197" s="1" t="str">
        <f>TEXT(flights_sample_3m[[#This Row],[FL_DATE]],"yyyy-mm")</f>
        <v>2021-10</v>
      </c>
      <c r="C197" t="s">
        <v>57</v>
      </c>
      <c r="D197" t="s">
        <v>58</v>
      </c>
      <c r="E197" t="s">
        <v>59</v>
      </c>
      <c r="F197">
        <v>19393</v>
      </c>
      <c r="G197">
        <v>591</v>
      </c>
      <c r="H197" t="s">
        <v>233</v>
      </c>
      <c r="I197" t="s">
        <v>234</v>
      </c>
      <c r="J197" t="s">
        <v>201</v>
      </c>
      <c r="K197" t="s">
        <v>202</v>
      </c>
      <c r="L197">
        <v>820</v>
      </c>
      <c r="M197" s="2">
        <v>841</v>
      </c>
      <c r="N197">
        <v>21</v>
      </c>
      <c r="O197" t="str">
        <f>IF(flights_sample_3m[[#This Row],[DEP_DELAY]]&lt;=15,"No delay",IF(flights_sample_3m[[#This Row],[DEP_DELAY]]&lt;=60,"Short Delay","Long Delay"))</f>
        <v>Short Delay</v>
      </c>
      <c r="P197" t="str">
        <f>IF(flights_sample_3m[[#This Row],[DEP_DELAY]]&lt;=15,"Delayed","On Time")</f>
        <v>On Time</v>
      </c>
      <c r="Q197">
        <v>9</v>
      </c>
      <c r="R197">
        <v>850</v>
      </c>
      <c r="S197">
        <v>1019</v>
      </c>
      <c r="T197">
        <v>9</v>
      </c>
      <c r="U197">
        <v>1015</v>
      </c>
      <c r="V197" s="2">
        <v>1028</v>
      </c>
      <c r="W197">
        <v>13</v>
      </c>
      <c r="X197">
        <v>0</v>
      </c>
      <c r="Y197">
        <v>0</v>
      </c>
      <c r="Z197">
        <v>0</v>
      </c>
      <c r="AA197">
        <v>115</v>
      </c>
      <c r="AB197">
        <v>107</v>
      </c>
      <c r="AC197">
        <v>89</v>
      </c>
      <c r="AD197">
        <v>646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">
      <c r="A198" s="1">
        <v>44319</v>
      </c>
      <c r="B198" s="1" t="str">
        <f>TEXT(flights_sample_3m[[#This Row],[FL_DATE]],"yyyy-mm")</f>
        <v>2021-05</v>
      </c>
      <c r="C198" t="s">
        <v>71</v>
      </c>
      <c r="D198" t="s">
        <v>72</v>
      </c>
      <c r="E198" t="s">
        <v>73</v>
      </c>
      <c r="F198">
        <v>20452</v>
      </c>
      <c r="G198">
        <v>3525</v>
      </c>
      <c r="H198" t="s">
        <v>125</v>
      </c>
      <c r="I198" t="s">
        <v>68</v>
      </c>
      <c r="J198" t="s">
        <v>157</v>
      </c>
      <c r="K198" t="s">
        <v>158</v>
      </c>
      <c r="L198">
        <v>1830</v>
      </c>
      <c r="M198" s="2">
        <v>1827</v>
      </c>
      <c r="N198">
        <v>-3</v>
      </c>
      <c r="O198" t="str">
        <f>IF(flights_sample_3m[[#This Row],[DEP_DELAY]]&lt;=15,"No delay",IF(flights_sample_3m[[#This Row],[DEP_DELAY]]&lt;=60,"Short Delay","Long Delay"))</f>
        <v>No delay</v>
      </c>
      <c r="P198" t="str">
        <f>IF(flights_sample_3m[[#This Row],[DEP_DELAY]]&lt;=15,"Delayed","On Time")</f>
        <v>Delayed</v>
      </c>
      <c r="Q198">
        <v>12</v>
      </c>
      <c r="R198">
        <v>1839</v>
      </c>
      <c r="S198">
        <v>1951</v>
      </c>
      <c r="T198">
        <v>4</v>
      </c>
      <c r="U198">
        <v>2022</v>
      </c>
      <c r="V198" s="2">
        <v>1955</v>
      </c>
      <c r="W198">
        <v>-27</v>
      </c>
      <c r="X198">
        <v>0</v>
      </c>
      <c r="Y198">
        <v>0</v>
      </c>
      <c r="Z198">
        <v>0</v>
      </c>
      <c r="AA198">
        <v>112</v>
      </c>
      <c r="AB198">
        <v>88</v>
      </c>
      <c r="AC198">
        <v>72</v>
      </c>
      <c r="AD198">
        <v>476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">
      <c r="A199" s="1">
        <v>43562</v>
      </c>
      <c r="B199" s="1" t="str">
        <f>TEXT(flights_sample_3m[[#This Row],[FL_DATE]],"yyyy-mm")</f>
        <v>2019-04</v>
      </c>
      <c r="C199" t="s">
        <v>57</v>
      </c>
      <c r="D199" t="s">
        <v>58</v>
      </c>
      <c r="E199" t="s">
        <v>59</v>
      </c>
      <c r="F199">
        <v>19393</v>
      </c>
      <c r="G199">
        <v>6524</v>
      </c>
      <c r="H199" t="s">
        <v>102</v>
      </c>
      <c r="I199" t="s">
        <v>103</v>
      </c>
      <c r="J199" t="s">
        <v>155</v>
      </c>
      <c r="K199" t="s">
        <v>156</v>
      </c>
      <c r="L199">
        <v>1540</v>
      </c>
      <c r="M199" s="2">
        <v>1606</v>
      </c>
      <c r="N199">
        <v>26</v>
      </c>
      <c r="O199" t="str">
        <f>IF(flights_sample_3m[[#This Row],[DEP_DELAY]]&lt;=15,"No delay",IF(flights_sample_3m[[#This Row],[DEP_DELAY]]&lt;=60,"Short Delay","Long Delay"))</f>
        <v>Short Delay</v>
      </c>
      <c r="P199" t="str">
        <f>IF(flights_sample_3m[[#This Row],[DEP_DELAY]]&lt;=15,"Delayed","On Time")</f>
        <v>On Time</v>
      </c>
      <c r="Q199">
        <v>12</v>
      </c>
      <c r="R199">
        <v>1618</v>
      </c>
      <c r="S199">
        <v>1809</v>
      </c>
      <c r="T199">
        <v>4</v>
      </c>
      <c r="U199">
        <v>1710</v>
      </c>
      <c r="V199" s="2">
        <v>1813</v>
      </c>
      <c r="W199">
        <v>63</v>
      </c>
      <c r="X199">
        <v>0</v>
      </c>
      <c r="Y199">
        <v>0</v>
      </c>
      <c r="Z199">
        <v>0</v>
      </c>
      <c r="AA199">
        <v>90</v>
      </c>
      <c r="AB199">
        <v>127</v>
      </c>
      <c r="AC199">
        <v>111</v>
      </c>
      <c r="AD199">
        <v>444</v>
      </c>
      <c r="AE199">
        <v>25</v>
      </c>
      <c r="AF199">
        <v>0</v>
      </c>
      <c r="AG199">
        <v>37</v>
      </c>
      <c r="AH199">
        <v>0</v>
      </c>
      <c r="AI199">
        <v>1</v>
      </c>
    </row>
    <row r="200" spans="1:35" x14ac:dyDescent="0.3">
      <c r="A200" s="1">
        <v>44327</v>
      </c>
      <c r="B200" s="1" t="str">
        <f>TEXT(flights_sample_3m[[#This Row],[FL_DATE]],"yyyy-mm")</f>
        <v>2021-05</v>
      </c>
      <c r="C200" t="s">
        <v>57</v>
      </c>
      <c r="D200" t="s">
        <v>58</v>
      </c>
      <c r="E200" t="s">
        <v>59</v>
      </c>
      <c r="F200">
        <v>19393</v>
      </c>
      <c r="G200">
        <v>4048</v>
      </c>
      <c r="H200" t="s">
        <v>53</v>
      </c>
      <c r="I200" t="s">
        <v>54</v>
      </c>
      <c r="J200" t="s">
        <v>270</v>
      </c>
      <c r="K200" t="s">
        <v>271</v>
      </c>
      <c r="L200">
        <v>910</v>
      </c>
      <c r="M200" s="2">
        <v>906</v>
      </c>
      <c r="N200">
        <v>-4</v>
      </c>
      <c r="O200" t="str">
        <f>IF(flights_sample_3m[[#This Row],[DEP_DELAY]]&lt;=15,"No delay",IF(flights_sample_3m[[#This Row],[DEP_DELAY]]&lt;=60,"Short Delay","Long Delay"))</f>
        <v>No delay</v>
      </c>
      <c r="P200" t="str">
        <f>IF(flights_sample_3m[[#This Row],[DEP_DELAY]]&lt;=15,"Delayed","On Time")</f>
        <v>Delayed</v>
      </c>
      <c r="Q200">
        <v>13</v>
      </c>
      <c r="R200">
        <v>919</v>
      </c>
      <c r="S200">
        <v>1132</v>
      </c>
      <c r="T200">
        <v>2</v>
      </c>
      <c r="U200">
        <v>1145</v>
      </c>
      <c r="V200" s="2">
        <v>1134</v>
      </c>
      <c r="W200">
        <v>-11</v>
      </c>
      <c r="X200">
        <v>0</v>
      </c>
      <c r="Y200">
        <v>0</v>
      </c>
      <c r="Z200">
        <v>0</v>
      </c>
      <c r="AA200">
        <v>155</v>
      </c>
      <c r="AB200">
        <v>148</v>
      </c>
      <c r="AC200">
        <v>133</v>
      </c>
      <c r="AD200">
        <v>1011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">
      <c r="A201" s="1">
        <v>43887</v>
      </c>
      <c r="B201" s="1" t="str">
        <f>TEXT(flights_sample_3m[[#This Row],[FL_DATE]],"yyyy-mm")</f>
        <v>2020-02</v>
      </c>
      <c r="C201" t="s">
        <v>71</v>
      </c>
      <c r="D201" t="s">
        <v>72</v>
      </c>
      <c r="E201" t="s">
        <v>73</v>
      </c>
      <c r="F201">
        <v>20452</v>
      </c>
      <c r="G201">
        <v>6116</v>
      </c>
      <c r="H201" t="s">
        <v>157</v>
      </c>
      <c r="I201" t="s">
        <v>158</v>
      </c>
      <c r="J201" t="s">
        <v>177</v>
      </c>
      <c r="K201" t="s">
        <v>111</v>
      </c>
      <c r="L201">
        <v>1716</v>
      </c>
      <c r="M201" s="2">
        <v>1723</v>
      </c>
      <c r="N201">
        <v>7</v>
      </c>
      <c r="O201" t="str">
        <f>IF(flights_sample_3m[[#This Row],[DEP_DELAY]]&lt;=15,"No delay",IF(flights_sample_3m[[#This Row],[DEP_DELAY]]&lt;=60,"Short Delay","Long Delay"))</f>
        <v>No delay</v>
      </c>
      <c r="P201" t="str">
        <f>IF(flights_sample_3m[[#This Row],[DEP_DELAY]]&lt;=15,"Delayed","On Time")</f>
        <v>Delayed</v>
      </c>
      <c r="Q201">
        <v>43</v>
      </c>
      <c r="R201">
        <v>1806</v>
      </c>
      <c r="S201">
        <v>1937</v>
      </c>
      <c r="T201">
        <v>6</v>
      </c>
      <c r="U201">
        <v>1920</v>
      </c>
      <c r="V201" s="2">
        <v>1943</v>
      </c>
      <c r="W201">
        <v>23</v>
      </c>
      <c r="X201">
        <v>0</v>
      </c>
      <c r="Y201">
        <v>0</v>
      </c>
      <c r="Z201">
        <v>0</v>
      </c>
      <c r="AA201">
        <v>124</v>
      </c>
      <c r="AB201">
        <v>140</v>
      </c>
      <c r="AC201">
        <v>91</v>
      </c>
      <c r="AD201">
        <v>660</v>
      </c>
      <c r="AE201">
        <v>0</v>
      </c>
      <c r="AF201">
        <v>2</v>
      </c>
      <c r="AG201">
        <v>16</v>
      </c>
      <c r="AH201">
        <v>0</v>
      </c>
      <c r="AI201">
        <v>5</v>
      </c>
    </row>
    <row r="202" spans="1:35" x14ac:dyDescent="0.3">
      <c r="A202" s="1">
        <v>44674</v>
      </c>
      <c r="B202" s="1" t="str">
        <f>TEXT(flights_sample_3m[[#This Row],[FL_DATE]],"yyyy-mm")</f>
        <v>2022-04</v>
      </c>
      <c r="C202" t="s">
        <v>57</v>
      </c>
      <c r="D202" t="s">
        <v>58</v>
      </c>
      <c r="E202" t="s">
        <v>59</v>
      </c>
      <c r="F202">
        <v>19393</v>
      </c>
      <c r="G202">
        <v>3442</v>
      </c>
      <c r="H202" t="s">
        <v>303</v>
      </c>
      <c r="I202" t="s">
        <v>304</v>
      </c>
      <c r="J202" t="s">
        <v>129</v>
      </c>
      <c r="K202" t="s">
        <v>130</v>
      </c>
      <c r="L202">
        <v>1210</v>
      </c>
      <c r="M202" s="2">
        <v>1225</v>
      </c>
      <c r="N202">
        <v>15</v>
      </c>
      <c r="O202" t="str">
        <f>IF(flights_sample_3m[[#This Row],[DEP_DELAY]]&lt;=15,"No delay",IF(flights_sample_3m[[#This Row],[DEP_DELAY]]&lt;=60,"Short Delay","Long Delay"))</f>
        <v>No delay</v>
      </c>
      <c r="P202" t="str">
        <f>IF(flights_sample_3m[[#This Row],[DEP_DELAY]]&lt;=15,"Delayed","On Time")</f>
        <v>Delayed</v>
      </c>
      <c r="Q202">
        <v>11</v>
      </c>
      <c r="R202">
        <v>1236</v>
      </c>
      <c r="S202">
        <v>1403</v>
      </c>
      <c r="T202">
        <v>7</v>
      </c>
      <c r="U202">
        <v>1410</v>
      </c>
      <c r="V202" s="2">
        <v>1410</v>
      </c>
      <c r="W202">
        <v>0</v>
      </c>
      <c r="X202">
        <v>0</v>
      </c>
      <c r="Y202">
        <v>0</v>
      </c>
      <c r="Z202">
        <v>0</v>
      </c>
      <c r="AA202">
        <v>120</v>
      </c>
      <c r="AB202">
        <v>105</v>
      </c>
      <c r="AC202">
        <v>87</v>
      </c>
      <c r="AD202">
        <v>700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">
      <c r="A203" s="1">
        <v>44671</v>
      </c>
      <c r="B203" s="1" t="str">
        <f>TEXT(flights_sample_3m[[#This Row],[FL_DATE]],"yyyy-mm")</f>
        <v>2022-04</v>
      </c>
      <c r="C203" t="s">
        <v>57</v>
      </c>
      <c r="D203" t="s">
        <v>58</v>
      </c>
      <c r="E203" t="s">
        <v>59</v>
      </c>
      <c r="F203">
        <v>19393</v>
      </c>
      <c r="G203">
        <v>400</v>
      </c>
      <c r="H203" t="s">
        <v>76</v>
      </c>
      <c r="I203" t="s">
        <v>77</v>
      </c>
      <c r="J203" t="s">
        <v>60</v>
      </c>
      <c r="K203" t="s">
        <v>61</v>
      </c>
      <c r="L203">
        <v>1915</v>
      </c>
      <c r="M203" s="2">
        <v>1910</v>
      </c>
      <c r="N203">
        <v>-5</v>
      </c>
      <c r="O203" t="str">
        <f>IF(flights_sample_3m[[#This Row],[DEP_DELAY]]&lt;=15,"No delay",IF(flights_sample_3m[[#This Row],[DEP_DELAY]]&lt;=60,"Short Delay","Long Delay"))</f>
        <v>No delay</v>
      </c>
      <c r="P203" t="str">
        <f>IF(flights_sample_3m[[#This Row],[DEP_DELAY]]&lt;=15,"Delayed","On Time")</f>
        <v>Delayed</v>
      </c>
      <c r="Q203">
        <v>10</v>
      </c>
      <c r="R203">
        <v>1920</v>
      </c>
      <c r="S203">
        <v>2000</v>
      </c>
      <c r="T203">
        <v>5</v>
      </c>
      <c r="U203">
        <v>2020</v>
      </c>
      <c r="V203" s="2">
        <v>2005</v>
      </c>
      <c r="W203">
        <v>-15</v>
      </c>
      <c r="X203">
        <v>0</v>
      </c>
      <c r="Y203">
        <v>0</v>
      </c>
      <c r="Z203">
        <v>0</v>
      </c>
      <c r="AA203">
        <v>65</v>
      </c>
      <c r="AB203">
        <v>55</v>
      </c>
      <c r="AC203">
        <v>40</v>
      </c>
      <c r="AD203">
        <v>216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">
      <c r="A204" s="1">
        <v>43512</v>
      </c>
      <c r="B204" s="1" t="str">
        <f>TEXT(flights_sample_3m[[#This Row],[FL_DATE]],"yyyy-mm")</f>
        <v>2019-02</v>
      </c>
      <c r="C204" t="s">
        <v>71</v>
      </c>
      <c r="D204" t="s">
        <v>72</v>
      </c>
      <c r="E204" t="s">
        <v>73</v>
      </c>
      <c r="F204">
        <v>20452</v>
      </c>
      <c r="G204">
        <v>4453</v>
      </c>
      <c r="H204" t="s">
        <v>221</v>
      </c>
      <c r="I204" t="s">
        <v>222</v>
      </c>
      <c r="J204" t="s">
        <v>243</v>
      </c>
      <c r="K204" t="s">
        <v>244</v>
      </c>
      <c r="L204">
        <v>2155</v>
      </c>
      <c r="M204" s="2">
        <v>2151</v>
      </c>
      <c r="N204">
        <v>-4</v>
      </c>
      <c r="O204" t="str">
        <f>IF(flights_sample_3m[[#This Row],[DEP_DELAY]]&lt;=15,"No delay",IF(flights_sample_3m[[#This Row],[DEP_DELAY]]&lt;=60,"Short Delay","Long Delay"))</f>
        <v>No delay</v>
      </c>
      <c r="P204" t="str">
        <f>IF(flights_sample_3m[[#This Row],[DEP_DELAY]]&lt;=15,"Delayed","On Time")</f>
        <v>Delayed</v>
      </c>
      <c r="Q204">
        <v>20</v>
      </c>
      <c r="R204">
        <v>2211</v>
      </c>
      <c r="S204">
        <v>18</v>
      </c>
      <c r="T204">
        <v>11</v>
      </c>
      <c r="U204">
        <v>35</v>
      </c>
      <c r="V204" s="2">
        <v>29</v>
      </c>
      <c r="W204">
        <v>-6</v>
      </c>
      <c r="X204">
        <v>0</v>
      </c>
      <c r="Y204">
        <v>0</v>
      </c>
      <c r="Z204">
        <v>0</v>
      </c>
      <c r="AA204">
        <v>160</v>
      </c>
      <c r="AB204">
        <v>158</v>
      </c>
      <c r="AC204">
        <v>127</v>
      </c>
      <c r="AD204">
        <v>910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">
      <c r="A205" s="1">
        <v>43474</v>
      </c>
      <c r="B205" s="1" t="str">
        <f>TEXT(flights_sample_3m[[#This Row],[FL_DATE]],"yyyy-mm")</f>
        <v>2019-01</v>
      </c>
      <c r="C205" t="s">
        <v>148</v>
      </c>
      <c r="D205" t="s">
        <v>149</v>
      </c>
      <c r="E205" t="s">
        <v>150</v>
      </c>
      <c r="F205">
        <v>20304</v>
      </c>
      <c r="G205">
        <v>4158</v>
      </c>
      <c r="H205" t="s">
        <v>305</v>
      </c>
      <c r="I205" t="s">
        <v>306</v>
      </c>
      <c r="J205" t="s">
        <v>85</v>
      </c>
      <c r="K205" t="s">
        <v>86</v>
      </c>
      <c r="L205">
        <v>545</v>
      </c>
      <c r="M205" s="2">
        <v>542</v>
      </c>
      <c r="N205">
        <v>-3</v>
      </c>
      <c r="O205" t="str">
        <f>IF(flights_sample_3m[[#This Row],[DEP_DELAY]]&lt;=15,"No delay",IF(flights_sample_3m[[#This Row],[DEP_DELAY]]&lt;=60,"Short Delay","Long Delay"))</f>
        <v>No delay</v>
      </c>
      <c r="P205" t="str">
        <f>IF(flights_sample_3m[[#This Row],[DEP_DELAY]]&lt;=15,"Delayed","On Time")</f>
        <v>Delayed</v>
      </c>
      <c r="Q205">
        <v>27</v>
      </c>
      <c r="R205">
        <v>609</v>
      </c>
      <c r="S205">
        <v>640</v>
      </c>
      <c r="T205">
        <v>5</v>
      </c>
      <c r="U205">
        <v>646</v>
      </c>
      <c r="V205" s="2">
        <v>645</v>
      </c>
      <c r="W205">
        <v>-1</v>
      </c>
      <c r="X205">
        <v>0</v>
      </c>
      <c r="Y205">
        <v>0</v>
      </c>
      <c r="Z205">
        <v>0</v>
      </c>
      <c r="AA205">
        <v>61</v>
      </c>
      <c r="AB205">
        <v>63</v>
      </c>
      <c r="AC205">
        <v>31</v>
      </c>
      <c r="AD205">
        <v>106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">
      <c r="A206" s="1">
        <v>44141</v>
      </c>
      <c r="B206" s="1" t="str">
        <f>TEXT(flights_sample_3m[[#This Row],[FL_DATE]],"yyyy-mm")</f>
        <v>2020-11</v>
      </c>
      <c r="C206" t="s">
        <v>120</v>
      </c>
      <c r="D206" t="s">
        <v>121</v>
      </c>
      <c r="E206" t="s">
        <v>122</v>
      </c>
      <c r="F206">
        <v>20397</v>
      </c>
      <c r="G206">
        <v>5513</v>
      </c>
      <c r="H206" t="s">
        <v>307</v>
      </c>
      <c r="I206" t="s">
        <v>308</v>
      </c>
      <c r="J206" t="s">
        <v>123</v>
      </c>
      <c r="K206" t="s">
        <v>124</v>
      </c>
      <c r="L206">
        <v>1243</v>
      </c>
      <c r="M206" s="2">
        <v>1236</v>
      </c>
      <c r="N206">
        <v>-7</v>
      </c>
      <c r="O206" t="str">
        <f>IF(flights_sample_3m[[#This Row],[DEP_DELAY]]&lt;=15,"No delay",IF(flights_sample_3m[[#This Row],[DEP_DELAY]]&lt;=60,"Short Delay","Long Delay"))</f>
        <v>No delay</v>
      </c>
      <c r="P206" t="str">
        <f>IF(flights_sample_3m[[#This Row],[DEP_DELAY]]&lt;=15,"Delayed","On Time")</f>
        <v>Delayed</v>
      </c>
      <c r="Q206">
        <v>11</v>
      </c>
      <c r="R206">
        <v>1247</v>
      </c>
      <c r="S206">
        <v>1429</v>
      </c>
      <c r="T206">
        <v>20</v>
      </c>
      <c r="U206">
        <v>1518</v>
      </c>
      <c r="V206" s="2">
        <v>1449</v>
      </c>
      <c r="W206">
        <v>-29</v>
      </c>
      <c r="X206">
        <v>0</v>
      </c>
      <c r="Y206">
        <v>0</v>
      </c>
      <c r="Z206">
        <v>0</v>
      </c>
      <c r="AA206">
        <v>155</v>
      </c>
      <c r="AB206">
        <v>133</v>
      </c>
      <c r="AC206">
        <v>102</v>
      </c>
      <c r="AD206">
        <v>761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">
      <c r="A207" s="1">
        <v>44683</v>
      </c>
      <c r="B207" s="1" t="str">
        <f>TEXT(flights_sample_3m[[#This Row],[FL_DATE]],"yyyy-mm")</f>
        <v>2022-05</v>
      </c>
      <c r="C207" t="s">
        <v>148</v>
      </c>
      <c r="D207" t="s">
        <v>149</v>
      </c>
      <c r="E207" t="s">
        <v>150</v>
      </c>
      <c r="F207">
        <v>20304</v>
      </c>
      <c r="G207">
        <v>3430</v>
      </c>
      <c r="H207" t="s">
        <v>78</v>
      </c>
      <c r="I207" t="s">
        <v>79</v>
      </c>
      <c r="J207" t="s">
        <v>48</v>
      </c>
      <c r="K207" t="s">
        <v>49</v>
      </c>
      <c r="L207">
        <v>2235</v>
      </c>
      <c r="M207" s="2">
        <v>2226</v>
      </c>
      <c r="N207">
        <v>-9</v>
      </c>
      <c r="O207" t="str">
        <f>IF(flights_sample_3m[[#This Row],[DEP_DELAY]]&lt;=15,"No delay",IF(flights_sample_3m[[#This Row],[DEP_DELAY]]&lt;=60,"Short Delay","Long Delay"))</f>
        <v>No delay</v>
      </c>
      <c r="P207" t="str">
        <f>IF(flights_sample_3m[[#This Row],[DEP_DELAY]]&lt;=15,"Delayed","On Time")</f>
        <v>Delayed</v>
      </c>
      <c r="Q207">
        <v>12</v>
      </c>
      <c r="R207">
        <v>2238</v>
      </c>
      <c r="S207">
        <v>2334</v>
      </c>
      <c r="T207">
        <v>4</v>
      </c>
      <c r="U207">
        <v>2359</v>
      </c>
      <c r="V207" s="2">
        <v>2338</v>
      </c>
      <c r="W207">
        <v>-21</v>
      </c>
      <c r="X207">
        <v>0</v>
      </c>
      <c r="Y207">
        <v>0</v>
      </c>
      <c r="Z207">
        <v>0</v>
      </c>
      <c r="AA207">
        <v>84</v>
      </c>
      <c r="AB207">
        <v>72</v>
      </c>
      <c r="AC207">
        <v>56</v>
      </c>
      <c r="AD207">
        <v>337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">
      <c r="A208" s="1">
        <v>44257</v>
      </c>
      <c r="B208" s="1" t="str">
        <f>TEXT(flights_sample_3m[[#This Row],[FL_DATE]],"yyyy-mm")</f>
        <v>2021-03</v>
      </c>
      <c r="C208" t="s">
        <v>148</v>
      </c>
      <c r="D208" t="s">
        <v>149</v>
      </c>
      <c r="E208" t="s">
        <v>150</v>
      </c>
      <c r="F208">
        <v>20304</v>
      </c>
      <c r="G208">
        <v>4052</v>
      </c>
      <c r="H208" t="s">
        <v>106</v>
      </c>
      <c r="I208" t="s">
        <v>92</v>
      </c>
      <c r="J208" t="s">
        <v>170</v>
      </c>
      <c r="K208" t="s">
        <v>171</v>
      </c>
      <c r="L208">
        <v>705</v>
      </c>
      <c r="M208" s="2">
        <v>705</v>
      </c>
      <c r="N208">
        <v>0</v>
      </c>
      <c r="O208" t="str">
        <f>IF(flights_sample_3m[[#This Row],[DEP_DELAY]]&lt;=15,"No delay",IF(flights_sample_3m[[#This Row],[DEP_DELAY]]&lt;=60,"Short Delay","Long Delay"))</f>
        <v>No delay</v>
      </c>
      <c r="P208" t="str">
        <f>IF(flights_sample_3m[[#This Row],[DEP_DELAY]]&lt;=15,"Delayed","On Time")</f>
        <v>Delayed</v>
      </c>
      <c r="Q208">
        <v>24</v>
      </c>
      <c r="R208">
        <v>729</v>
      </c>
      <c r="S208">
        <v>913</v>
      </c>
      <c r="T208">
        <v>13</v>
      </c>
      <c r="U208">
        <v>930</v>
      </c>
      <c r="V208" s="2">
        <v>926</v>
      </c>
      <c r="W208">
        <v>-4</v>
      </c>
      <c r="X208">
        <v>0</v>
      </c>
      <c r="Y208">
        <v>0</v>
      </c>
      <c r="Z208">
        <v>0</v>
      </c>
      <c r="AA208">
        <v>85</v>
      </c>
      <c r="AB208">
        <v>81</v>
      </c>
      <c r="AC208">
        <v>44</v>
      </c>
      <c r="AD208">
        <v>235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">
      <c r="A209" s="1">
        <v>44828</v>
      </c>
      <c r="B209" s="1" t="str">
        <f>TEXT(flights_sample_3m[[#This Row],[FL_DATE]],"yyyy-mm")</f>
        <v>2022-09</v>
      </c>
      <c r="C209" t="s">
        <v>50</v>
      </c>
      <c r="D209" t="s">
        <v>51</v>
      </c>
      <c r="E209" t="s">
        <v>52</v>
      </c>
      <c r="F209">
        <v>20416</v>
      </c>
      <c r="G209">
        <v>326</v>
      </c>
      <c r="H209" t="s">
        <v>78</v>
      </c>
      <c r="I209" t="s">
        <v>79</v>
      </c>
      <c r="J209" t="s">
        <v>76</v>
      </c>
      <c r="K209" t="s">
        <v>77</v>
      </c>
      <c r="L209">
        <v>530</v>
      </c>
      <c r="M209" s="2">
        <v>529</v>
      </c>
      <c r="N209">
        <v>-1</v>
      </c>
      <c r="O209" t="str">
        <f>IF(flights_sample_3m[[#This Row],[DEP_DELAY]]&lt;=15,"No delay",IF(flights_sample_3m[[#This Row],[DEP_DELAY]]&lt;=60,"Short Delay","Long Delay"))</f>
        <v>No delay</v>
      </c>
      <c r="P209" t="str">
        <f>IF(flights_sample_3m[[#This Row],[DEP_DELAY]]&lt;=15,"Delayed","On Time")</f>
        <v>Delayed</v>
      </c>
      <c r="Q209">
        <v>14</v>
      </c>
      <c r="R209">
        <v>543</v>
      </c>
      <c r="S209">
        <v>1041</v>
      </c>
      <c r="T209">
        <v>6</v>
      </c>
      <c r="U209">
        <v>1049</v>
      </c>
      <c r="V209" s="2">
        <v>1047</v>
      </c>
      <c r="W209">
        <v>-2</v>
      </c>
      <c r="X209">
        <v>0</v>
      </c>
      <c r="Y209">
        <v>0</v>
      </c>
      <c r="Z209">
        <v>0</v>
      </c>
      <c r="AA209">
        <v>199</v>
      </c>
      <c r="AB209">
        <v>198</v>
      </c>
      <c r="AC209">
        <v>178</v>
      </c>
      <c r="AD209">
        <v>1379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">
      <c r="A210" s="1">
        <v>44198</v>
      </c>
      <c r="B210" s="1" t="str">
        <f>TEXT(flights_sample_3m[[#This Row],[FL_DATE]],"yyyy-mm")</f>
        <v>2021-01</v>
      </c>
      <c r="C210" t="s">
        <v>57</v>
      </c>
      <c r="D210" t="s">
        <v>58</v>
      </c>
      <c r="E210" t="s">
        <v>59</v>
      </c>
      <c r="F210">
        <v>19393</v>
      </c>
      <c r="G210">
        <v>1099</v>
      </c>
      <c r="H210" t="s">
        <v>46</v>
      </c>
      <c r="I210" t="s">
        <v>47</v>
      </c>
      <c r="J210" t="s">
        <v>35</v>
      </c>
      <c r="K210" t="s">
        <v>36</v>
      </c>
      <c r="L210">
        <v>1345</v>
      </c>
      <c r="M210" s="2">
        <v>1427</v>
      </c>
      <c r="N210">
        <v>42</v>
      </c>
      <c r="O210" t="str">
        <f>IF(flights_sample_3m[[#This Row],[DEP_DELAY]]&lt;=15,"No delay",IF(flights_sample_3m[[#This Row],[DEP_DELAY]]&lt;=60,"Short Delay","Long Delay"))</f>
        <v>Short Delay</v>
      </c>
      <c r="P210" t="str">
        <f>IF(flights_sample_3m[[#This Row],[DEP_DELAY]]&lt;=15,"Delayed","On Time")</f>
        <v>On Time</v>
      </c>
      <c r="Q210">
        <v>14</v>
      </c>
      <c r="R210">
        <v>1441</v>
      </c>
      <c r="S210">
        <v>2003</v>
      </c>
      <c r="T210">
        <v>2</v>
      </c>
      <c r="U210">
        <v>1930</v>
      </c>
      <c r="V210" s="2">
        <v>2005</v>
      </c>
      <c r="W210">
        <v>35</v>
      </c>
      <c r="X210">
        <v>0</v>
      </c>
      <c r="Y210">
        <v>0</v>
      </c>
      <c r="Z210">
        <v>0</v>
      </c>
      <c r="AA210">
        <v>225</v>
      </c>
      <c r="AB210">
        <v>218</v>
      </c>
      <c r="AC210">
        <v>202</v>
      </c>
      <c r="AD210">
        <v>1703</v>
      </c>
      <c r="AE210">
        <v>35</v>
      </c>
      <c r="AF210">
        <v>0</v>
      </c>
      <c r="AG210">
        <v>0</v>
      </c>
      <c r="AH210">
        <v>0</v>
      </c>
      <c r="AI210">
        <v>0</v>
      </c>
    </row>
    <row r="211" spans="1:35" x14ac:dyDescent="0.3">
      <c r="A211" s="1">
        <v>44023</v>
      </c>
      <c r="B211" s="1" t="str">
        <f>TEXT(flights_sample_3m[[#This Row],[FL_DATE]],"yyyy-mm")</f>
        <v>2020-07</v>
      </c>
      <c r="C211" t="s">
        <v>64</v>
      </c>
      <c r="D211" t="s">
        <v>65</v>
      </c>
      <c r="E211" t="s">
        <v>66</v>
      </c>
      <c r="F211">
        <v>19805</v>
      </c>
      <c r="G211">
        <v>2498</v>
      </c>
      <c r="H211" t="s">
        <v>205</v>
      </c>
      <c r="I211" t="s">
        <v>206</v>
      </c>
      <c r="J211" t="s">
        <v>123</v>
      </c>
      <c r="K211" t="s">
        <v>124</v>
      </c>
      <c r="L211">
        <v>840</v>
      </c>
      <c r="M211" s="2">
        <v>831</v>
      </c>
      <c r="N211">
        <v>-9</v>
      </c>
      <c r="O211" t="str">
        <f>IF(flights_sample_3m[[#This Row],[DEP_DELAY]]&lt;=15,"No delay",IF(flights_sample_3m[[#This Row],[DEP_DELAY]]&lt;=60,"Short Delay","Long Delay"))</f>
        <v>No delay</v>
      </c>
      <c r="P211" t="str">
        <f>IF(flights_sample_3m[[#This Row],[DEP_DELAY]]&lt;=15,"Delayed","On Time")</f>
        <v>Delayed</v>
      </c>
      <c r="Q211">
        <v>15</v>
      </c>
      <c r="R211">
        <v>846</v>
      </c>
      <c r="S211">
        <v>1000</v>
      </c>
      <c r="T211">
        <v>7</v>
      </c>
      <c r="U211">
        <v>1036</v>
      </c>
      <c r="V211" s="2">
        <v>1007</v>
      </c>
      <c r="W211">
        <v>-29</v>
      </c>
      <c r="X211">
        <v>0</v>
      </c>
      <c r="Y211">
        <v>0</v>
      </c>
      <c r="Z211">
        <v>0</v>
      </c>
      <c r="AA211">
        <v>116</v>
      </c>
      <c r="AB211">
        <v>96</v>
      </c>
      <c r="AC211">
        <v>74</v>
      </c>
      <c r="AD211">
        <v>449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">
      <c r="A212" s="1">
        <v>45126</v>
      </c>
      <c r="B212" s="1" t="str">
        <f>TEXT(flights_sample_3m[[#This Row],[FL_DATE]],"yyyy-mm")</f>
        <v>2023-07</v>
      </c>
      <c r="C212" t="s">
        <v>167</v>
      </c>
      <c r="D212" t="s">
        <v>168</v>
      </c>
      <c r="E212" t="s">
        <v>169</v>
      </c>
      <c r="F212">
        <v>20363</v>
      </c>
      <c r="G212">
        <v>5025</v>
      </c>
      <c r="H212" t="s">
        <v>187</v>
      </c>
      <c r="I212" t="s">
        <v>188</v>
      </c>
      <c r="J212" t="s">
        <v>177</v>
      </c>
      <c r="K212" t="s">
        <v>111</v>
      </c>
      <c r="L212">
        <v>1534</v>
      </c>
      <c r="M212" s="2">
        <v>1530</v>
      </c>
      <c r="N212">
        <v>-4</v>
      </c>
      <c r="O212" t="str">
        <f>IF(flights_sample_3m[[#This Row],[DEP_DELAY]]&lt;=15,"No delay",IF(flights_sample_3m[[#This Row],[DEP_DELAY]]&lt;=60,"Short Delay","Long Delay"))</f>
        <v>No delay</v>
      </c>
      <c r="P212" t="str">
        <f>IF(flights_sample_3m[[#This Row],[DEP_DELAY]]&lt;=15,"Delayed","On Time")</f>
        <v>Delayed</v>
      </c>
      <c r="Q212">
        <v>11</v>
      </c>
      <c r="R212">
        <v>1541</v>
      </c>
      <c r="S212">
        <v>1845</v>
      </c>
      <c r="T212">
        <v>7</v>
      </c>
      <c r="U212">
        <v>1906</v>
      </c>
      <c r="V212" s="2">
        <v>1852</v>
      </c>
      <c r="W212">
        <v>-14</v>
      </c>
      <c r="X212">
        <v>0</v>
      </c>
      <c r="Y212">
        <v>0</v>
      </c>
      <c r="Z212">
        <v>0</v>
      </c>
      <c r="AA212">
        <v>152</v>
      </c>
      <c r="AB212">
        <v>142</v>
      </c>
      <c r="AC212">
        <v>124</v>
      </c>
      <c r="AD212">
        <v>888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">
      <c r="A213" s="1">
        <v>44898</v>
      </c>
      <c r="B213" s="1" t="str">
        <f>TEXT(flights_sample_3m[[#This Row],[FL_DATE]],"yyyy-mm")</f>
        <v>2022-12</v>
      </c>
      <c r="C213" t="s">
        <v>64</v>
      </c>
      <c r="D213" t="s">
        <v>65</v>
      </c>
      <c r="E213" t="s">
        <v>66</v>
      </c>
      <c r="F213">
        <v>19805</v>
      </c>
      <c r="G213">
        <v>2600</v>
      </c>
      <c r="H213" t="s">
        <v>69</v>
      </c>
      <c r="I213" t="s">
        <v>70</v>
      </c>
      <c r="J213" t="s">
        <v>55</v>
      </c>
      <c r="K213" t="s">
        <v>56</v>
      </c>
      <c r="L213">
        <v>830</v>
      </c>
      <c r="M213" s="2">
        <v>826</v>
      </c>
      <c r="N213">
        <v>-4</v>
      </c>
      <c r="O213" t="str">
        <f>IF(flights_sample_3m[[#This Row],[DEP_DELAY]]&lt;=15,"No delay",IF(flights_sample_3m[[#This Row],[DEP_DELAY]]&lt;=60,"Short Delay","Long Delay"))</f>
        <v>No delay</v>
      </c>
      <c r="P213" t="str">
        <f>IF(flights_sample_3m[[#This Row],[DEP_DELAY]]&lt;=15,"Delayed","On Time")</f>
        <v>Delayed</v>
      </c>
      <c r="Q213">
        <v>17</v>
      </c>
      <c r="R213">
        <v>843</v>
      </c>
      <c r="S213">
        <v>1154</v>
      </c>
      <c r="T213">
        <v>18</v>
      </c>
      <c r="U213">
        <v>1211</v>
      </c>
      <c r="V213" s="2">
        <v>1212</v>
      </c>
      <c r="W213">
        <v>1</v>
      </c>
      <c r="X213">
        <v>0</v>
      </c>
      <c r="Y213">
        <v>0</v>
      </c>
      <c r="Z213">
        <v>0</v>
      </c>
      <c r="AA213">
        <v>281</v>
      </c>
      <c r="AB213">
        <v>286</v>
      </c>
      <c r="AC213">
        <v>251</v>
      </c>
      <c r="AD213">
        <v>1562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">
      <c r="A214" s="1">
        <v>44513</v>
      </c>
      <c r="B214" s="1" t="str">
        <f>TEXT(flights_sample_3m[[#This Row],[FL_DATE]],"yyyy-mm")</f>
        <v>2021-11</v>
      </c>
      <c r="C214" t="s">
        <v>39</v>
      </c>
      <c r="D214" t="s">
        <v>40</v>
      </c>
      <c r="E214" t="s">
        <v>41</v>
      </c>
      <c r="F214">
        <v>19790</v>
      </c>
      <c r="G214">
        <v>2729</v>
      </c>
      <c r="H214" t="s">
        <v>85</v>
      </c>
      <c r="I214" t="s">
        <v>86</v>
      </c>
      <c r="J214" t="s">
        <v>89</v>
      </c>
      <c r="K214" t="s">
        <v>90</v>
      </c>
      <c r="L214">
        <v>2105</v>
      </c>
      <c r="M214" s="2">
        <v>2101</v>
      </c>
      <c r="N214">
        <v>-4</v>
      </c>
      <c r="O214" t="str">
        <f>IF(flights_sample_3m[[#This Row],[DEP_DELAY]]&lt;=15,"No delay",IF(flights_sample_3m[[#This Row],[DEP_DELAY]]&lt;=60,"Short Delay","Long Delay"))</f>
        <v>No delay</v>
      </c>
      <c r="P214" t="str">
        <f>IF(flights_sample_3m[[#This Row],[DEP_DELAY]]&lt;=15,"Delayed","On Time")</f>
        <v>Delayed</v>
      </c>
      <c r="Q214">
        <v>14</v>
      </c>
      <c r="R214">
        <v>2115</v>
      </c>
      <c r="S214">
        <v>2211</v>
      </c>
      <c r="T214">
        <v>7</v>
      </c>
      <c r="U214">
        <v>2222</v>
      </c>
      <c r="V214" s="2">
        <v>2218</v>
      </c>
      <c r="W214">
        <v>-4</v>
      </c>
      <c r="X214">
        <v>0</v>
      </c>
      <c r="Y214">
        <v>0</v>
      </c>
      <c r="Z214">
        <v>0</v>
      </c>
      <c r="AA214">
        <v>77</v>
      </c>
      <c r="AB214">
        <v>77</v>
      </c>
      <c r="AC214">
        <v>56</v>
      </c>
      <c r="AD214">
        <v>356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">
      <c r="A215" s="1">
        <v>45057</v>
      </c>
      <c r="B215" s="1" t="str">
        <f>TEXT(flights_sample_3m[[#This Row],[FL_DATE]],"yyyy-mm")</f>
        <v>2023-05</v>
      </c>
      <c r="C215" t="s">
        <v>50</v>
      </c>
      <c r="D215" t="s">
        <v>51</v>
      </c>
      <c r="E215" t="s">
        <v>52</v>
      </c>
      <c r="F215">
        <v>20416</v>
      </c>
      <c r="G215">
        <v>1810</v>
      </c>
      <c r="H215" t="s">
        <v>35</v>
      </c>
      <c r="I215" t="s">
        <v>36</v>
      </c>
      <c r="J215" t="s">
        <v>205</v>
      </c>
      <c r="K215" t="s">
        <v>206</v>
      </c>
      <c r="L215">
        <v>1830</v>
      </c>
      <c r="M215" s="2">
        <v>1827</v>
      </c>
      <c r="N215">
        <v>-3</v>
      </c>
      <c r="O215" t="str">
        <f>IF(flights_sample_3m[[#This Row],[DEP_DELAY]]&lt;=15,"No delay",IF(flights_sample_3m[[#This Row],[DEP_DELAY]]&lt;=60,"Short Delay","Long Delay"))</f>
        <v>No delay</v>
      </c>
      <c r="P215" t="str">
        <f>IF(flights_sample_3m[[#This Row],[DEP_DELAY]]&lt;=15,"Delayed","On Time")</f>
        <v>Delayed</v>
      </c>
      <c r="Q215">
        <v>11</v>
      </c>
      <c r="R215">
        <v>1838</v>
      </c>
      <c r="S215">
        <v>2051</v>
      </c>
      <c r="T215">
        <v>10</v>
      </c>
      <c r="U215">
        <v>2117</v>
      </c>
      <c r="V215" s="2">
        <v>2101</v>
      </c>
      <c r="W215">
        <v>-16</v>
      </c>
      <c r="X215">
        <v>0</v>
      </c>
      <c r="Y215">
        <v>0</v>
      </c>
      <c r="Z215">
        <v>0</v>
      </c>
      <c r="AA215">
        <v>167</v>
      </c>
      <c r="AB215">
        <v>154</v>
      </c>
      <c r="AC215">
        <v>133</v>
      </c>
      <c r="AD215">
        <v>992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">
      <c r="A216" s="1">
        <v>44781</v>
      </c>
      <c r="B216" s="1" t="str">
        <f>TEXT(flights_sample_3m[[#This Row],[FL_DATE]],"yyyy-mm")</f>
        <v>2022-08</v>
      </c>
      <c r="C216" t="s">
        <v>107</v>
      </c>
      <c r="D216" t="s">
        <v>108</v>
      </c>
      <c r="E216" t="s">
        <v>109</v>
      </c>
      <c r="F216">
        <v>20409</v>
      </c>
      <c r="G216">
        <v>1347</v>
      </c>
      <c r="H216" t="s">
        <v>67</v>
      </c>
      <c r="I216" t="s">
        <v>68</v>
      </c>
      <c r="J216" t="s">
        <v>192</v>
      </c>
      <c r="K216" t="s">
        <v>193</v>
      </c>
      <c r="L216">
        <v>815</v>
      </c>
      <c r="M216" s="2">
        <v>808</v>
      </c>
      <c r="N216">
        <v>-7</v>
      </c>
      <c r="O216" t="str">
        <f>IF(flights_sample_3m[[#This Row],[DEP_DELAY]]&lt;=15,"No delay",IF(flights_sample_3m[[#This Row],[DEP_DELAY]]&lt;=60,"Short Delay","Long Delay"))</f>
        <v>No delay</v>
      </c>
      <c r="P216" t="str">
        <f>IF(flights_sample_3m[[#This Row],[DEP_DELAY]]&lt;=15,"Delayed","On Time")</f>
        <v>Delayed</v>
      </c>
      <c r="Q216">
        <v>16</v>
      </c>
      <c r="R216">
        <v>824</v>
      </c>
      <c r="S216">
        <v>1141</v>
      </c>
      <c r="T216">
        <v>8</v>
      </c>
      <c r="U216">
        <v>1202</v>
      </c>
      <c r="V216" s="2">
        <v>1149</v>
      </c>
      <c r="W216">
        <v>-13</v>
      </c>
      <c r="X216">
        <v>0</v>
      </c>
      <c r="Y216">
        <v>0</v>
      </c>
      <c r="Z216">
        <v>0</v>
      </c>
      <c r="AA216">
        <v>227</v>
      </c>
      <c r="AB216">
        <v>221</v>
      </c>
      <c r="AC216">
        <v>197</v>
      </c>
      <c r="AD216">
        <v>1554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">
      <c r="A217" s="1">
        <v>44031</v>
      </c>
      <c r="B217" s="1" t="str">
        <f>TEXT(flights_sample_3m[[#This Row],[FL_DATE]],"yyyy-mm")</f>
        <v>2020-07</v>
      </c>
      <c r="C217" t="s">
        <v>64</v>
      </c>
      <c r="D217" t="s">
        <v>65</v>
      </c>
      <c r="E217" t="s">
        <v>66</v>
      </c>
      <c r="F217">
        <v>19805</v>
      </c>
      <c r="G217">
        <v>1281</v>
      </c>
      <c r="H217" t="s">
        <v>196</v>
      </c>
      <c r="I217" t="s">
        <v>197</v>
      </c>
      <c r="J217" t="s">
        <v>55</v>
      </c>
      <c r="K217" t="s">
        <v>56</v>
      </c>
      <c r="L217">
        <v>930</v>
      </c>
      <c r="M217" s="2">
        <v>925</v>
      </c>
      <c r="N217">
        <v>-5</v>
      </c>
      <c r="O217" t="str">
        <f>IF(flights_sample_3m[[#This Row],[DEP_DELAY]]&lt;=15,"No delay",IF(flights_sample_3m[[#This Row],[DEP_DELAY]]&lt;=60,"Short Delay","Long Delay"))</f>
        <v>No delay</v>
      </c>
      <c r="P217" t="str">
        <f>IF(flights_sample_3m[[#This Row],[DEP_DELAY]]&lt;=15,"Delayed","On Time")</f>
        <v>Delayed</v>
      </c>
      <c r="Q217">
        <v>9</v>
      </c>
      <c r="R217">
        <v>934</v>
      </c>
      <c r="S217">
        <v>1053</v>
      </c>
      <c r="T217">
        <v>23</v>
      </c>
      <c r="U217">
        <v>1113</v>
      </c>
      <c r="V217" s="2">
        <v>1116</v>
      </c>
      <c r="W217">
        <v>3</v>
      </c>
      <c r="X217">
        <v>0</v>
      </c>
      <c r="Y217">
        <v>0</v>
      </c>
      <c r="Z217">
        <v>0</v>
      </c>
      <c r="AA217">
        <v>163</v>
      </c>
      <c r="AB217">
        <v>171</v>
      </c>
      <c r="AC217">
        <v>139</v>
      </c>
      <c r="AD217">
        <v>1017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">
      <c r="A218" s="1">
        <v>44843</v>
      </c>
      <c r="B218" s="1" t="str">
        <f>TEXT(flights_sample_3m[[#This Row],[FL_DATE]],"yyyy-mm")</f>
        <v>2022-10</v>
      </c>
      <c r="C218" t="s">
        <v>39</v>
      </c>
      <c r="D218" t="s">
        <v>40</v>
      </c>
      <c r="E218" t="s">
        <v>41</v>
      </c>
      <c r="F218">
        <v>19790</v>
      </c>
      <c r="G218">
        <v>1447</v>
      </c>
      <c r="H218" t="s">
        <v>235</v>
      </c>
      <c r="I218" t="s">
        <v>236</v>
      </c>
      <c r="J218" t="s">
        <v>85</v>
      </c>
      <c r="K218" t="s">
        <v>86</v>
      </c>
      <c r="L218">
        <v>1543</v>
      </c>
      <c r="M218" s="2">
        <v>1532</v>
      </c>
      <c r="N218">
        <v>-11</v>
      </c>
      <c r="O218" t="str">
        <f>IF(flights_sample_3m[[#This Row],[DEP_DELAY]]&lt;=15,"No delay",IF(flights_sample_3m[[#This Row],[DEP_DELAY]]&lt;=60,"Short Delay","Long Delay"))</f>
        <v>No delay</v>
      </c>
      <c r="P218" t="str">
        <f>IF(flights_sample_3m[[#This Row],[DEP_DELAY]]&lt;=15,"Delayed","On Time")</f>
        <v>Delayed</v>
      </c>
      <c r="Q218">
        <v>13</v>
      </c>
      <c r="R218">
        <v>1545</v>
      </c>
      <c r="S218">
        <v>1635</v>
      </c>
      <c r="T218">
        <v>3</v>
      </c>
      <c r="U218">
        <v>1710</v>
      </c>
      <c r="V218" s="2">
        <v>1638</v>
      </c>
      <c r="W218">
        <v>-32</v>
      </c>
      <c r="X218">
        <v>0</v>
      </c>
      <c r="Y218">
        <v>0</v>
      </c>
      <c r="Z218">
        <v>0</v>
      </c>
      <c r="AA218">
        <v>87</v>
      </c>
      <c r="AB218">
        <v>66</v>
      </c>
      <c r="AC218">
        <v>50</v>
      </c>
      <c r="AD218">
        <v>306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">
      <c r="A219" s="1">
        <v>43722</v>
      </c>
      <c r="B219" s="1" t="str">
        <f>TEXT(flights_sample_3m[[#This Row],[FL_DATE]],"yyyy-mm")</f>
        <v>2019-09</v>
      </c>
      <c r="C219" t="s">
        <v>80</v>
      </c>
      <c r="D219" t="s">
        <v>81</v>
      </c>
      <c r="E219" t="s">
        <v>82</v>
      </c>
      <c r="F219">
        <v>19930</v>
      </c>
      <c r="G219">
        <v>500</v>
      </c>
      <c r="H219" t="s">
        <v>44</v>
      </c>
      <c r="I219" t="s">
        <v>45</v>
      </c>
      <c r="J219" t="s">
        <v>157</v>
      </c>
      <c r="K219" t="s">
        <v>158</v>
      </c>
      <c r="L219">
        <v>1000</v>
      </c>
      <c r="M219" s="2">
        <v>1031</v>
      </c>
      <c r="N219">
        <v>31</v>
      </c>
      <c r="O219" t="str">
        <f>IF(flights_sample_3m[[#This Row],[DEP_DELAY]]&lt;=15,"No delay",IF(flights_sample_3m[[#This Row],[DEP_DELAY]]&lt;=60,"Short Delay","Long Delay"))</f>
        <v>Short Delay</v>
      </c>
      <c r="P219" t="str">
        <f>IF(flights_sample_3m[[#This Row],[DEP_DELAY]]&lt;=15,"Delayed","On Time")</f>
        <v>On Time</v>
      </c>
      <c r="Q219">
        <v>31</v>
      </c>
      <c r="R219">
        <v>1102</v>
      </c>
      <c r="S219">
        <v>1727</v>
      </c>
      <c r="T219">
        <v>4</v>
      </c>
      <c r="U219">
        <v>1715</v>
      </c>
      <c r="V219" s="2">
        <v>1731</v>
      </c>
      <c r="W219">
        <v>16</v>
      </c>
      <c r="X219">
        <v>0</v>
      </c>
      <c r="Y219">
        <v>0</v>
      </c>
      <c r="Z219">
        <v>0</v>
      </c>
      <c r="AA219">
        <v>255</v>
      </c>
      <c r="AB219">
        <v>240</v>
      </c>
      <c r="AC219">
        <v>205</v>
      </c>
      <c r="AD219">
        <v>1866</v>
      </c>
      <c r="AE219">
        <v>16</v>
      </c>
      <c r="AF219">
        <v>0</v>
      </c>
      <c r="AG219">
        <v>0</v>
      </c>
      <c r="AH219">
        <v>0</v>
      </c>
      <c r="AI219">
        <v>0</v>
      </c>
    </row>
    <row r="220" spans="1:35" x14ac:dyDescent="0.3">
      <c r="A220" s="1">
        <v>44490</v>
      </c>
      <c r="B220" s="1" t="str">
        <f>TEXT(flights_sample_3m[[#This Row],[FL_DATE]],"yyyy-mm")</f>
        <v>2021-10</v>
      </c>
      <c r="C220" t="s">
        <v>32</v>
      </c>
      <c r="D220" t="s">
        <v>33</v>
      </c>
      <c r="E220" t="s">
        <v>34</v>
      </c>
      <c r="F220">
        <v>19977</v>
      </c>
      <c r="G220">
        <v>1491</v>
      </c>
      <c r="H220" t="s">
        <v>239</v>
      </c>
      <c r="I220" t="s">
        <v>240</v>
      </c>
      <c r="J220" t="s">
        <v>48</v>
      </c>
      <c r="K220" t="s">
        <v>49</v>
      </c>
      <c r="L220">
        <v>1015</v>
      </c>
      <c r="M220" s="2">
        <v>1147</v>
      </c>
      <c r="N220">
        <v>92</v>
      </c>
      <c r="O220" t="str">
        <f>IF(flights_sample_3m[[#This Row],[DEP_DELAY]]&lt;=15,"No delay",IF(flights_sample_3m[[#This Row],[DEP_DELAY]]&lt;=60,"Short Delay","Long Delay"))</f>
        <v>Long Delay</v>
      </c>
      <c r="P220" t="str">
        <f>IF(flights_sample_3m[[#This Row],[DEP_DELAY]]&lt;=15,"Delayed","On Time")</f>
        <v>On Time</v>
      </c>
      <c r="Q220">
        <v>10</v>
      </c>
      <c r="R220">
        <v>1157</v>
      </c>
      <c r="S220">
        <v>1336</v>
      </c>
      <c r="T220">
        <v>6</v>
      </c>
      <c r="U220">
        <v>1206</v>
      </c>
      <c r="V220" s="2">
        <v>1342</v>
      </c>
      <c r="W220">
        <v>96</v>
      </c>
      <c r="X220">
        <v>0</v>
      </c>
      <c r="Y220">
        <v>0</v>
      </c>
      <c r="Z220">
        <v>0</v>
      </c>
      <c r="AA220">
        <v>111</v>
      </c>
      <c r="AB220">
        <v>115</v>
      </c>
      <c r="AC220">
        <v>99</v>
      </c>
      <c r="AD220">
        <v>550</v>
      </c>
      <c r="AE220">
        <v>0</v>
      </c>
      <c r="AF220">
        <v>0</v>
      </c>
      <c r="AG220">
        <v>96</v>
      </c>
      <c r="AH220">
        <v>0</v>
      </c>
      <c r="AI220">
        <v>0</v>
      </c>
    </row>
    <row r="221" spans="1:35" x14ac:dyDescent="0.3">
      <c r="A221" s="1">
        <v>43580</v>
      </c>
      <c r="B221" s="1" t="str">
        <f>TEXT(flights_sample_3m[[#This Row],[FL_DATE]],"yyyy-mm")</f>
        <v>2019-04</v>
      </c>
      <c r="C221" t="s">
        <v>80</v>
      </c>
      <c r="D221" t="s">
        <v>81</v>
      </c>
      <c r="E221" t="s">
        <v>82</v>
      </c>
      <c r="F221">
        <v>19930</v>
      </c>
      <c r="G221">
        <v>479</v>
      </c>
      <c r="H221" t="s">
        <v>309</v>
      </c>
      <c r="I221" t="s">
        <v>310</v>
      </c>
      <c r="J221" t="s">
        <v>44</v>
      </c>
      <c r="K221" t="s">
        <v>45</v>
      </c>
      <c r="L221">
        <v>1930</v>
      </c>
      <c r="M221" s="2">
        <v>1922</v>
      </c>
      <c r="N221">
        <v>-8</v>
      </c>
      <c r="O221" t="str">
        <f>IF(flights_sample_3m[[#This Row],[DEP_DELAY]]&lt;=15,"No delay",IF(flights_sample_3m[[#This Row],[DEP_DELAY]]&lt;=60,"Short Delay","Long Delay"))</f>
        <v>No delay</v>
      </c>
      <c r="P221" t="str">
        <f>IF(flights_sample_3m[[#This Row],[DEP_DELAY]]&lt;=15,"Delayed","On Time")</f>
        <v>Delayed</v>
      </c>
      <c r="Q221">
        <v>14</v>
      </c>
      <c r="R221">
        <v>1936</v>
      </c>
      <c r="S221">
        <v>2154</v>
      </c>
      <c r="T221">
        <v>17</v>
      </c>
      <c r="U221">
        <v>2225</v>
      </c>
      <c r="V221" s="2">
        <v>2211</v>
      </c>
      <c r="W221">
        <v>-14</v>
      </c>
      <c r="X221">
        <v>0</v>
      </c>
      <c r="Y221">
        <v>0</v>
      </c>
      <c r="Z221">
        <v>0</v>
      </c>
      <c r="AA221">
        <v>175</v>
      </c>
      <c r="AB221">
        <v>169</v>
      </c>
      <c r="AC221">
        <v>138</v>
      </c>
      <c r="AD221">
        <v>978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">
      <c r="A222" s="1">
        <v>45110</v>
      </c>
      <c r="B222" s="1" t="str">
        <f>TEXT(flights_sample_3m[[#This Row],[FL_DATE]],"yyyy-mm")</f>
        <v>2023-07</v>
      </c>
      <c r="C222" t="s">
        <v>50</v>
      </c>
      <c r="D222" t="s">
        <v>51</v>
      </c>
      <c r="E222" t="s">
        <v>52</v>
      </c>
      <c r="F222">
        <v>20416</v>
      </c>
      <c r="G222">
        <v>356</v>
      </c>
      <c r="H222" t="s">
        <v>53</v>
      </c>
      <c r="I222" t="s">
        <v>54</v>
      </c>
      <c r="J222" t="s">
        <v>76</v>
      </c>
      <c r="K222" t="s">
        <v>77</v>
      </c>
      <c r="L222">
        <v>1702</v>
      </c>
      <c r="M222" s="2">
        <v>1748</v>
      </c>
      <c r="N222">
        <v>46</v>
      </c>
      <c r="O222" t="str">
        <f>IF(flights_sample_3m[[#This Row],[DEP_DELAY]]&lt;=15,"No delay",IF(flights_sample_3m[[#This Row],[DEP_DELAY]]&lt;=60,"Short Delay","Long Delay"))</f>
        <v>Short Delay</v>
      </c>
      <c r="P222" t="str">
        <f>IF(flights_sample_3m[[#This Row],[DEP_DELAY]]&lt;=15,"Delayed","On Time")</f>
        <v>On Time</v>
      </c>
      <c r="Q222">
        <v>13</v>
      </c>
      <c r="R222">
        <v>1801</v>
      </c>
      <c r="S222">
        <v>1857</v>
      </c>
      <c r="T222">
        <v>11</v>
      </c>
      <c r="U222">
        <v>1830</v>
      </c>
      <c r="V222" s="2">
        <v>1908</v>
      </c>
      <c r="W222">
        <v>38</v>
      </c>
      <c r="X222">
        <v>0</v>
      </c>
      <c r="Y222">
        <v>0</v>
      </c>
      <c r="Z222">
        <v>0</v>
      </c>
      <c r="AA222">
        <v>148</v>
      </c>
      <c r="AB222">
        <v>140</v>
      </c>
      <c r="AC222">
        <v>116</v>
      </c>
      <c r="AD222">
        <v>854</v>
      </c>
      <c r="AE222">
        <v>38</v>
      </c>
      <c r="AF222">
        <v>0</v>
      </c>
      <c r="AG222">
        <v>0</v>
      </c>
      <c r="AH222">
        <v>0</v>
      </c>
      <c r="AI222">
        <v>0</v>
      </c>
    </row>
    <row r="223" spans="1:35" x14ac:dyDescent="0.3">
      <c r="A223" s="1">
        <v>44066</v>
      </c>
      <c r="B223" s="1" t="str">
        <f>TEXT(flights_sample_3m[[#This Row],[FL_DATE]],"yyyy-mm")</f>
        <v>2020-08</v>
      </c>
      <c r="C223" t="s">
        <v>32</v>
      </c>
      <c r="D223" t="s">
        <v>33</v>
      </c>
      <c r="E223" t="s">
        <v>34</v>
      </c>
      <c r="F223">
        <v>19977</v>
      </c>
      <c r="G223">
        <v>1845</v>
      </c>
      <c r="H223" t="s">
        <v>46</v>
      </c>
      <c r="I223" t="s">
        <v>47</v>
      </c>
      <c r="J223" t="s">
        <v>106</v>
      </c>
      <c r="K223" t="s">
        <v>92</v>
      </c>
      <c r="L223">
        <v>630</v>
      </c>
      <c r="M223" s="2">
        <v>621</v>
      </c>
      <c r="N223">
        <v>-9</v>
      </c>
      <c r="O223" t="str">
        <f>IF(flights_sample_3m[[#This Row],[DEP_DELAY]]&lt;=15,"No delay",IF(flights_sample_3m[[#This Row],[DEP_DELAY]]&lt;=60,"Short Delay","Long Delay"))</f>
        <v>No delay</v>
      </c>
      <c r="P223" t="str">
        <f>IF(flights_sample_3m[[#This Row],[DEP_DELAY]]&lt;=15,"Delayed","On Time")</f>
        <v>Delayed</v>
      </c>
      <c r="Q223">
        <v>13</v>
      </c>
      <c r="R223">
        <v>634</v>
      </c>
      <c r="S223">
        <v>932</v>
      </c>
      <c r="T223">
        <v>13</v>
      </c>
      <c r="U223">
        <v>956</v>
      </c>
      <c r="V223" s="2">
        <v>945</v>
      </c>
      <c r="W223">
        <v>-11</v>
      </c>
      <c r="X223">
        <v>0</v>
      </c>
      <c r="Y223">
        <v>0</v>
      </c>
      <c r="Z223">
        <v>0</v>
      </c>
      <c r="AA223">
        <v>146</v>
      </c>
      <c r="AB223">
        <v>144</v>
      </c>
      <c r="AC223">
        <v>118</v>
      </c>
      <c r="AD223">
        <v>888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">
      <c r="A224" s="1">
        <v>43729</v>
      </c>
      <c r="B224" s="1" t="str">
        <f>TEXT(flights_sample_3m[[#This Row],[FL_DATE]],"yyyy-mm")</f>
        <v>2019-09</v>
      </c>
      <c r="C224" t="s">
        <v>120</v>
      </c>
      <c r="D224" t="s">
        <v>121</v>
      </c>
      <c r="E224" t="s">
        <v>122</v>
      </c>
      <c r="F224">
        <v>20397</v>
      </c>
      <c r="G224">
        <v>5473</v>
      </c>
      <c r="H224" t="s">
        <v>270</v>
      </c>
      <c r="I224" t="s">
        <v>271</v>
      </c>
      <c r="J224" t="s">
        <v>67</v>
      </c>
      <c r="K224" t="s">
        <v>68</v>
      </c>
      <c r="L224">
        <v>1538</v>
      </c>
      <c r="M224" s="2">
        <v>1558</v>
      </c>
      <c r="N224">
        <v>20</v>
      </c>
      <c r="O224" t="str">
        <f>IF(flights_sample_3m[[#This Row],[DEP_DELAY]]&lt;=15,"No delay",IF(flights_sample_3m[[#This Row],[DEP_DELAY]]&lt;=60,"Short Delay","Long Delay"))</f>
        <v>Short Delay</v>
      </c>
      <c r="P224" t="str">
        <f>IF(flights_sample_3m[[#This Row],[DEP_DELAY]]&lt;=15,"Delayed","On Time")</f>
        <v>On Time</v>
      </c>
      <c r="Q224">
        <v>18</v>
      </c>
      <c r="R224">
        <v>1616</v>
      </c>
      <c r="S224">
        <v>1706</v>
      </c>
      <c r="T224">
        <v>6</v>
      </c>
      <c r="U224">
        <v>1700</v>
      </c>
      <c r="V224" s="2">
        <v>1712</v>
      </c>
      <c r="W224">
        <v>12</v>
      </c>
      <c r="X224">
        <v>0</v>
      </c>
      <c r="Y224">
        <v>0</v>
      </c>
      <c r="Z224">
        <v>0</v>
      </c>
      <c r="AA224">
        <v>82</v>
      </c>
      <c r="AB224">
        <v>74</v>
      </c>
      <c r="AC224">
        <v>50</v>
      </c>
      <c r="AD224">
        <v>296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">
      <c r="A225" s="1">
        <v>44899</v>
      </c>
      <c r="B225" s="1" t="str">
        <f>TEXT(flights_sample_3m[[#This Row],[FL_DATE]],"yyyy-mm")</f>
        <v>2022-12</v>
      </c>
      <c r="C225" t="s">
        <v>57</v>
      </c>
      <c r="D225" t="s">
        <v>58</v>
      </c>
      <c r="E225" t="s">
        <v>59</v>
      </c>
      <c r="F225">
        <v>19393</v>
      </c>
      <c r="G225">
        <v>1227</v>
      </c>
      <c r="H225" t="s">
        <v>178</v>
      </c>
      <c r="I225" t="s">
        <v>179</v>
      </c>
      <c r="J225" t="s">
        <v>46</v>
      </c>
      <c r="K225" t="s">
        <v>47</v>
      </c>
      <c r="L225">
        <v>2120</v>
      </c>
      <c r="M225" s="2">
        <v>2149</v>
      </c>
      <c r="N225">
        <v>29</v>
      </c>
      <c r="O225" t="str">
        <f>IF(flights_sample_3m[[#This Row],[DEP_DELAY]]&lt;=15,"No delay",IF(flights_sample_3m[[#This Row],[DEP_DELAY]]&lt;=60,"Short Delay","Long Delay"))</f>
        <v>Short Delay</v>
      </c>
      <c r="P225" t="str">
        <f>IF(flights_sample_3m[[#This Row],[DEP_DELAY]]&lt;=15,"Delayed","On Time")</f>
        <v>On Time</v>
      </c>
      <c r="Q225">
        <v>8</v>
      </c>
      <c r="R225">
        <v>2157</v>
      </c>
      <c r="S225">
        <v>41</v>
      </c>
      <c r="T225">
        <v>5</v>
      </c>
      <c r="U225">
        <v>40</v>
      </c>
      <c r="V225" s="2">
        <v>46</v>
      </c>
      <c r="W225">
        <v>6</v>
      </c>
      <c r="X225">
        <v>0</v>
      </c>
      <c r="Y225">
        <v>0</v>
      </c>
      <c r="Z225">
        <v>0</v>
      </c>
      <c r="AA225">
        <v>140</v>
      </c>
      <c r="AB225">
        <v>117</v>
      </c>
      <c r="AC225">
        <v>104</v>
      </c>
      <c r="AD225">
        <v>909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">
      <c r="A226" s="1">
        <v>44478</v>
      </c>
      <c r="B226" s="1" t="str">
        <f>TEXT(flights_sample_3m[[#This Row],[FL_DATE]],"yyyy-mm")</f>
        <v>2021-10</v>
      </c>
      <c r="C226" t="s">
        <v>64</v>
      </c>
      <c r="D226" t="s">
        <v>65</v>
      </c>
      <c r="E226" t="s">
        <v>66</v>
      </c>
      <c r="F226">
        <v>19805</v>
      </c>
      <c r="G226">
        <v>2102</v>
      </c>
      <c r="H226" t="s">
        <v>185</v>
      </c>
      <c r="I226" t="s">
        <v>186</v>
      </c>
      <c r="J226" t="s">
        <v>123</v>
      </c>
      <c r="K226" t="s">
        <v>124</v>
      </c>
      <c r="L226">
        <v>1815</v>
      </c>
      <c r="M226" s="2">
        <v>1821</v>
      </c>
      <c r="N226">
        <v>6</v>
      </c>
      <c r="O226" t="str">
        <f>IF(flights_sample_3m[[#This Row],[DEP_DELAY]]&lt;=15,"No delay",IF(flights_sample_3m[[#This Row],[DEP_DELAY]]&lt;=60,"Short Delay","Long Delay"))</f>
        <v>No delay</v>
      </c>
      <c r="P226" t="str">
        <f>IF(flights_sample_3m[[#This Row],[DEP_DELAY]]&lt;=15,"Delayed","On Time")</f>
        <v>Delayed</v>
      </c>
      <c r="Q226">
        <v>17</v>
      </c>
      <c r="R226">
        <v>1838</v>
      </c>
      <c r="S226">
        <v>1932</v>
      </c>
      <c r="T226">
        <v>7</v>
      </c>
      <c r="U226">
        <v>1951</v>
      </c>
      <c r="V226" s="2">
        <v>1939</v>
      </c>
      <c r="W226">
        <v>-12</v>
      </c>
      <c r="X226">
        <v>0</v>
      </c>
      <c r="Y226">
        <v>0</v>
      </c>
      <c r="Z226">
        <v>0</v>
      </c>
      <c r="AA226">
        <v>96</v>
      </c>
      <c r="AB226">
        <v>78</v>
      </c>
      <c r="AC226">
        <v>54</v>
      </c>
      <c r="AD226">
        <v>347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">
      <c r="A227" s="1">
        <v>44416</v>
      </c>
      <c r="B227" s="1" t="str">
        <f>TEXT(flights_sample_3m[[#This Row],[FL_DATE]],"yyyy-mm")</f>
        <v>2021-08</v>
      </c>
      <c r="C227" t="s">
        <v>50</v>
      </c>
      <c r="D227" t="s">
        <v>51</v>
      </c>
      <c r="E227" t="s">
        <v>52</v>
      </c>
      <c r="F227">
        <v>20416</v>
      </c>
      <c r="G227">
        <v>721</v>
      </c>
      <c r="H227" t="s">
        <v>262</v>
      </c>
      <c r="I227" t="s">
        <v>263</v>
      </c>
      <c r="J227" t="s">
        <v>53</v>
      </c>
      <c r="K227" t="s">
        <v>54</v>
      </c>
      <c r="L227">
        <v>730</v>
      </c>
      <c r="M227" s="2">
        <v>738</v>
      </c>
      <c r="N227">
        <v>8</v>
      </c>
      <c r="O227" t="str">
        <f>IF(flights_sample_3m[[#This Row],[DEP_DELAY]]&lt;=15,"No delay",IF(flights_sample_3m[[#This Row],[DEP_DELAY]]&lt;=60,"Short Delay","Long Delay"))</f>
        <v>No delay</v>
      </c>
      <c r="P227" t="str">
        <f>IF(flights_sample_3m[[#This Row],[DEP_DELAY]]&lt;=15,"Delayed","On Time")</f>
        <v>Delayed</v>
      </c>
      <c r="Q227">
        <v>10</v>
      </c>
      <c r="R227">
        <v>748</v>
      </c>
      <c r="S227">
        <v>929</v>
      </c>
      <c r="T227">
        <v>9</v>
      </c>
      <c r="U227">
        <v>949</v>
      </c>
      <c r="V227" s="2">
        <v>938</v>
      </c>
      <c r="W227">
        <v>-11</v>
      </c>
      <c r="X227">
        <v>0</v>
      </c>
      <c r="Y227">
        <v>0</v>
      </c>
      <c r="Z227">
        <v>0</v>
      </c>
      <c r="AA227">
        <v>139</v>
      </c>
      <c r="AB227">
        <v>120</v>
      </c>
      <c r="AC227">
        <v>101</v>
      </c>
      <c r="AD227">
        <v>834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">
      <c r="A228" s="1">
        <v>44462</v>
      </c>
      <c r="B228" s="1" t="str">
        <f>TEXT(flights_sample_3m[[#This Row],[FL_DATE]],"yyyy-mm")</f>
        <v>2021-09</v>
      </c>
      <c r="C228" t="s">
        <v>311</v>
      </c>
      <c r="D228" t="s">
        <v>312</v>
      </c>
      <c r="E228" t="s">
        <v>313</v>
      </c>
      <c r="F228">
        <v>19690</v>
      </c>
      <c r="G228">
        <v>545</v>
      </c>
      <c r="H228" t="s">
        <v>314</v>
      </c>
      <c r="I228" t="s">
        <v>315</v>
      </c>
      <c r="J228" t="s">
        <v>258</v>
      </c>
      <c r="K228" t="s">
        <v>259</v>
      </c>
      <c r="L228">
        <v>2020</v>
      </c>
      <c r="M228" s="2">
        <v>2015</v>
      </c>
      <c r="N228">
        <v>-5</v>
      </c>
      <c r="O228" t="str">
        <f>IF(flights_sample_3m[[#This Row],[DEP_DELAY]]&lt;=15,"No delay",IF(flights_sample_3m[[#This Row],[DEP_DELAY]]&lt;=60,"Short Delay","Long Delay"))</f>
        <v>No delay</v>
      </c>
      <c r="P228" t="str">
        <f>IF(flights_sample_3m[[#This Row],[DEP_DELAY]]&lt;=15,"Delayed","On Time")</f>
        <v>Delayed</v>
      </c>
      <c r="Q228">
        <v>8</v>
      </c>
      <c r="R228">
        <v>2023</v>
      </c>
      <c r="S228">
        <v>2044</v>
      </c>
      <c r="T228">
        <v>6</v>
      </c>
      <c r="U228">
        <v>2058</v>
      </c>
      <c r="V228" s="2">
        <v>2050</v>
      </c>
      <c r="W228">
        <v>-8</v>
      </c>
      <c r="X228">
        <v>0</v>
      </c>
      <c r="Y228">
        <v>0</v>
      </c>
      <c r="Z228">
        <v>0</v>
      </c>
      <c r="AA228">
        <v>38</v>
      </c>
      <c r="AB228">
        <v>35</v>
      </c>
      <c r="AC228">
        <v>21</v>
      </c>
      <c r="AD228">
        <v>100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">
      <c r="A229" s="1">
        <v>43653</v>
      </c>
      <c r="B229" s="1" t="str">
        <f>TEXT(flights_sample_3m[[#This Row],[FL_DATE]],"yyyy-mm")</f>
        <v>2019-07</v>
      </c>
      <c r="C229" t="s">
        <v>71</v>
      </c>
      <c r="D229" t="s">
        <v>72</v>
      </c>
      <c r="E229" t="s">
        <v>73</v>
      </c>
      <c r="F229">
        <v>20452</v>
      </c>
      <c r="G229">
        <v>4504</v>
      </c>
      <c r="H229" t="s">
        <v>177</v>
      </c>
      <c r="I229" t="s">
        <v>111</v>
      </c>
      <c r="J229" t="s">
        <v>112</v>
      </c>
      <c r="K229" t="s">
        <v>113</v>
      </c>
      <c r="L229">
        <v>659</v>
      </c>
      <c r="M229" s="2">
        <v>651</v>
      </c>
      <c r="N229">
        <v>-8</v>
      </c>
      <c r="O229" t="str">
        <f>IF(flights_sample_3m[[#This Row],[DEP_DELAY]]&lt;=15,"No delay",IF(flights_sample_3m[[#This Row],[DEP_DELAY]]&lt;=60,"Short Delay","Long Delay"))</f>
        <v>No delay</v>
      </c>
      <c r="P229" t="str">
        <f>IF(flights_sample_3m[[#This Row],[DEP_DELAY]]&lt;=15,"Delayed","On Time")</f>
        <v>Delayed</v>
      </c>
      <c r="Q229">
        <v>17</v>
      </c>
      <c r="R229">
        <v>708</v>
      </c>
      <c r="S229">
        <v>840</v>
      </c>
      <c r="T229">
        <v>9</v>
      </c>
      <c r="U229">
        <v>910</v>
      </c>
      <c r="V229" s="2">
        <v>849</v>
      </c>
      <c r="W229">
        <v>-21</v>
      </c>
      <c r="X229">
        <v>0</v>
      </c>
      <c r="Y229">
        <v>0</v>
      </c>
      <c r="Z229">
        <v>0</v>
      </c>
      <c r="AA229">
        <v>131</v>
      </c>
      <c r="AB229">
        <v>118</v>
      </c>
      <c r="AC229">
        <v>92</v>
      </c>
      <c r="AD229">
        <v>641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">
      <c r="A230" s="1">
        <v>44153</v>
      </c>
      <c r="B230" s="1" t="str">
        <f>TEXT(flights_sample_3m[[#This Row],[FL_DATE]],"yyyy-mm")</f>
        <v>2020-11</v>
      </c>
      <c r="C230" t="s">
        <v>120</v>
      </c>
      <c r="D230" t="s">
        <v>121</v>
      </c>
      <c r="E230" t="s">
        <v>122</v>
      </c>
      <c r="F230">
        <v>20397</v>
      </c>
      <c r="G230">
        <v>5185</v>
      </c>
      <c r="H230" t="s">
        <v>123</v>
      </c>
      <c r="I230" t="s">
        <v>124</v>
      </c>
      <c r="J230" t="s">
        <v>116</v>
      </c>
      <c r="K230" t="s">
        <v>117</v>
      </c>
      <c r="L230">
        <v>2010</v>
      </c>
      <c r="M230" s="2">
        <v>2005</v>
      </c>
      <c r="N230">
        <v>-5</v>
      </c>
      <c r="O230" t="str">
        <f>IF(flights_sample_3m[[#This Row],[DEP_DELAY]]&lt;=15,"No delay",IF(flights_sample_3m[[#This Row],[DEP_DELAY]]&lt;=60,"Short Delay","Long Delay"))</f>
        <v>No delay</v>
      </c>
      <c r="P230" t="str">
        <f>IF(flights_sample_3m[[#This Row],[DEP_DELAY]]&lt;=15,"Delayed","On Time")</f>
        <v>Delayed</v>
      </c>
      <c r="Q230">
        <v>18</v>
      </c>
      <c r="R230">
        <v>2023</v>
      </c>
      <c r="S230">
        <v>2149</v>
      </c>
      <c r="T230">
        <v>5</v>
      </c>
      <c r="U230">
        <v>2210</v>
      </c>
      <c r="V230" s="2">
        <v>2154</v>
      </c>
      <c r="W230">
        <v>-16</v>
      </c>
      <c r="X230">
        <v>0</v>
      </c>
      <c r="Y230">
        <v>0</v>
      </c>
      <c r="Z230">
        <v>0</v>
      </c>
      <c r="AA230">
        <v>120</v>
      </c>
      <c r="AB230">
        <v>109</v>
      </c>
      <c r="AC230">
        <v>86</v>
      </c>
      <c r="AD230">
        <v>583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">
      <c r="A231" s="1">
        <v>45005</v>
      </c>
      <c r="B231" s="1" t="str">
        <f>TEXT(flights_sample_3m[[#This Row],[FL_DATE]],"yyyy-mm")</f>
        <v>2023-03</v>
      </c>
      <c r="C231" t="s">
        <v>57</v>
      </c>
      <c r="D231" t="s">
        <v>58</v>
      </c>
      <c r="E231" t="s">
        <v>59</v>
      </c>
      <c r="F231">
        <v>19393</v>
      </c>
      <c r="G231">
        <v>3176</v>
      </c>
      <c r="H231" t="s">
        <v>42</v>
      </c>
      <c r="I231" t="s">
        <v>43</v>
      </c>
      <c r="J231" t="s">
        <v>91</v>
      </c>
      <c r="K231" t="s">
        <v>92</v>
      </c>
      <c r="L231">
        <v>515</v>
      </c>
      <c r="M231" s="2">
        <v>518</v>
      </c>
      <c r="N231">
        <v>3</v>
      </c>
      <c r="O231" t="str">
        <f>IF(flights_sample_3m[[#This Row],[DEP_DELAY]]&lt;=15,"No delay",IF(flights_sample_3m[[#This Row],[DEP_DELAY]]&lt;=60,"Short Delay","Long Delay"))</f>
        <v>No delay</v>
      </c>
      <c r="P231" t="str">
        <f>IF(flights_sample_3m[[#This Row],[DEP_DELAY]]&lt;=15,"Delayed","On Time")</f>
        <v>Delayed</v>
      </c>
      <c r="Q231">
        <v>27</v>
      </c>
      <c r="R231">
        <v>545</v>
      </c>
      <c r="S231">
        <v>651</v>
      </c>
      <c r="T231">
        <v>6</v>
      </c>
      <c r="U231">
        <v>700</v>
      </c>
      <c r="V231" s="2">
        <v>657</v>
      </c>
      <c r="W231">
        <v>-3</v>
      </c>
      <c r="X231">
        <v>0</v>
      </c>
      <c r="Y231">
        <v>0</v>
      </c>
      <c r="Z231">
        <v>0</v>
      </c>
      <c r="AA231">
        <v>105</v>
      </c>
      <c r="AB231">
        <v>99</v>
      </c>
      <c r="AC231">
        <v>66</v>
      </c>
      <c r="AD231">
        <v>349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">
      <c r="A232" s="1">
        <v>43640</v>
      </c>
      <c r="B232" s="1" t="str">
        <f>TEXT(flights_sample_3m[[#This Row],[FL_DATE]],"yyyy-mm")</f>
        <v>2019-06</v>
      </c>
      <c r="C232" t="s">
        <v>57</v>
      </c>
      <c r="D232" t="s">
        <v>58</v>
      </c>
      <c r="E232" t="s">
        <v>59</v>
      </c>
      <c r="F232">
        <v>19393</v>
      </c>
      <c r="G232">
        <v>877</v>
      </c>
      <c r="H232" t="s">
        <v>91</v>
      </c>
      <c r="I232" t="s">
        <v>92</v>
      </c>
      <c r="J232" t="s">
        <v>53</v>
      </c>
      <c r="K232" t="s">
        <v>54</v>
      </c>
      <c r="L232">
        <v>1305</v>
      </c>
      <c r="M232" s="2">
        <v>1300</v>
      </c>
      <c r="N232">
        <v>-5</v>
      </c>
      <c r="O232" t="str">
        <f>IF(flights_sample_3m[[#This Row],[DEP_DELAY]]&lt;=15,"No delay",IF(flights_sample_3m[[#This Row],[DEP_DELAY]]&lt;=60,"Short Delay","Long Delay"))</f>
        <v>No delay</v>
      </c>
      <c r="P232" t="str">
        <f>IF(flights_sample_3m[[#This Row],[DEP_DELAY]]&lt;=15,"Delayed","On Time")</f>
        <v>Delayed</v>
      </c>
      <c r="Q232">
        <v>13</v>
      </c>
      <c r="R232">
        <v>1313</v>
      </c>
      <c r="S232">
        <v>1629</v>
      </c>
      <c r="T232">
        <v>6</v>
      </c>
      <c r="U232">
        <v>1650</v>
      </c>
      <c r="V232" s="2">
        <v>1635</v>
      </c>
      <c r="W232">
        <v>-15</v>
      </c>
      <c r="X232">
        <v>0</v>
      </c>
      <c r="Y232">
        <v>0</v>
      </c>
      <c r="Z232">
        <v>0</v>
      </c>
      <c r="AA232">
        <v>165</v>
      </c>
      <c r="AB232">
        <v>155</v>
      </c>
      <c r="AC232">
        <v>136</v>
      </c>
      <c r="AD232">
        <v>990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">
      <c r="A233" s="1">
        <v>44284</v>
      </c>
      <c r="B233" s="1" t="str">
        <f>TEXT(flights_sample_3m[[#This Row],[FL_DATE]],"yyyy-mm")</f>
        <v>2021-03</v>
      </c>
      <c r="C233" t="s">
        <v>64</v>
      </c>
      <c r="D233" t="s">
        <v>65</v>
      </c>
      <c r="E233" t="s">
        <v>66</v>
      </c>
      <c r="F233">
        <v>19805</v>
      </c>
      <c r="G233">
        <v>1533</v>
      </c>
      <c r="H233" t="s">
        <v>205</v>
      </c>
      <c r="I233" t="s">
        <v>206</v>
      </c>
      <c r="J233" t="s">
        <v>221</v>
      </c>
      <c r="K233" t="s">
        <v>222</v>
      </c>
      <c r="L233">
        <v>821</v>
      </c>
      <c r="M233" s="2">
        <v>821</v>
      </c>
      <c r="N233">
        <v>0</v>
      </c>
      <c r="O233" t="str">
        <f>IF(flights_sample_3m[[#This Row],[DEP_DELAY]]&lt;=15,"No delay",IF(flights_sample_3m[[#This Row],[DEP_DELAY]]&lt;=60,"Short Delay","Long Delay"))</f>
        <v>No delay</v>
      </c>
      <c r="P233" t="str">
        <f>IF(flights_sample_3m[[#This Row],[DEP_DELAY]]&lt;=15,"Delayed","On Time")</f>
        <v>Delayed</v>
      </c>
      <c r="Q233">
        <v>16</v>
      </c>
      <c r="R233">
        <v>837</v>
      </c>
      <c r="S233">
        <v>1058</v>
      </c>
      <c r="T233">
        <v>17</v>
      </c>
      <c r="U233">
        <v>1120</v>
      </c>
      <c r="V233" s="2">
        <v>1115</v>
      </c>
      <c r="W233">
        <v>-5</v>
      </c>
      <c r="X233">
        <v>0</v>
      </c>
      <c r="Y233">
        <v>0</v>
      </c>
      <c r="Z233">
        <v>0</v>
      </c>
      <c r="AA233">
        <v>179</v>
      </c>
      <c r="AB233">
        <v>174</v>
      </c>
      <c r="AC233">
        <v>141</v>
      </c>
      <c r="AD233">
        <v>1013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">
      <c r="A234" s="1">
        <v>43810</v>
      </c>
      <c r="B234" s="1" t="str">
        <f>TEXT(flights_sample_3m[[#This Row],[FL_DATE]],"yyyy-mm")</f>
        <v>2019-12</v>
      </c>
      <c r="C234" t="s">
        <v>57</v>
      </c>
      <c r="D234" t="s">
        <v>58</v>
      </c>
      <c r="E234" t="s">
        <v>59</v>
      </c>
      <c r="F234">
        <v>19393</v>
      </c>
      <c r="G234">
        <v>2295</v>
      </c>
      <c r="H234" t="s">
        <v>187</v>
      </c>
      <c r="I234" t="s">
        <v>188</v>
      </c>
      <c r="J234" t="s">
        <v>180</v>
      </c>
      <c r="K234" t="s">
        <v>181</v>
      </c>
      <c r="L234">
        <v>2205</v>
      </c>
      <c r="M234" s="2">
        <v>2155</v>
      </c>
      <c r="N234">
        <v>-10</v>
      </c>
      <c r="O234" t="str">
        <f>IF(flights_sample_3m[[#This Row],[DEP_DELAY]]&lt;=15,"No delay",IF(flights_sample_3m[[#This Row],[DEP_DELAY]]&lt;=60,"Short Delay","Long Delay"))</f>
        <v>No delay</v>
      </c>
      <c r="P234" t="str">
        <f>IF(flights_sample_3m[[#This Row],[DEP_DELAY]]&lt;=15,"Delayed","On Time")</f>
        <v>Delayed</v>
      </c>
      <c r="Q234">
        <v>9</v>
      </c>
      <c r="R234">
        <v>2204</v>
      </c>
      <c r="S234">
        <v>2357</v>
      </c>
      <c r="T234">
        <v>3</v>
      </c>
      <c r="U234">
        <v>25</v>
      </c>
      <c r="V234" s="2">
        <v>2400</v>
      </c>
      <c r="W234">
        <v>-25</v>
      </c>
      <c r="X234">
        <v>0</v>
      </c>
      <c r="Y234">
        <v>0</v>
      </c>
      <c r="Z234">
        <v>0</v>
      </c>
      <c r="AA234">
        <v>140</v>
      </c>
      <c r="AB234">
        <v>125</v>
      </c>
      <c r="AC234">
        <v>113</v>
      </c>
      <c r="AD234">
        <v>786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">
      <c r="A235" s="1">
        <v>43830</v>
      </c>
      <c r="B235" s="1" t="str">
        <f>TEXT(flights_sample_3m[[#This Row],[FL_DATE]],"yyyy-mm")</f>
        <v>2019-12</v>
      </c>
      <c r="C235" t="s">
        <v>133</v>
      </c>
      <c r="D235" t="s">
        <v>134</v>
      </c>
      <c r="E235" t="s">
        <v>135</v>
      </c>
      <c r="F235">
        <v>20366</v>
      </c>
      <c r="G235">
        <v>4086</v>
      </c>
      <c r="H235" t="s">
        <v>316</v>
      </c>
      <c r="I235" t="s">
        <v>317</v>
      </c>
      <c r="J235" t="s">
        <v>76</v>
      </c>
      <c r="K235" t="s">
        <v>77</v>
      </c>
      <c r="L235">
        <v>1609</v>
      </c>
      <c r="M235" s="2">
        <v>1556</v>
      </c>
      <c r="N235">
        <v>-13</v>
      </c>
      <c r="O235" t="str">
        <f>IF(flights_sample_3m[[#This Row],[DEP_DELAY]]&lt;=15,"No delay",IF(flights_sample_3m[[#This Row],[DEP_DELAY]]&lt;=60,"Short Delay","Long Delay"))</f>
        <v>No delay</v>
      </c>
      <c r="P235" t="str">
        <f>IF(flights_sample_3m[[#This Row],[DEP_DELAY]]&lt;=15,"Delayed","On Time")</f>
        <v>Delayed</v>
      </c>
      <c r="Q235">
        <v>10</v>
      </c>
      <c r="R235">
        <v>1606</v>
      </c>
      <c r="S235">
        <v>1702</v>
      </c>
      <c r="T235">
        <v>7</v>
      </c>
      <c r="U235">
        <v>1725</v>
      </c>
      <c r="V235" s="2">
        <v>1709</v>
      </c>
      <c r="W235">
        <v>-16</v>
      </c>
      <c r="X235">
        <v>0</v>
      </c>
      <c r="Y235">
        <v>0</v>
      </c>
      <c r="Z235">
        <v>0</v>
      </c>
      <c r="AA235">
        <v>76</v>
      </c>
      <c r="AB235">
        <v>73</v>
      </c>
      <c r="AC235">
        <v>56</v>
      </c>
      <c r="AD235">
        <v>295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">
      <c r="A236" s="1">
        <v>43638</v>
      </c>
      <c r="B236" s="1" t="str">
        <f>TEXT(flights_sample_3m[[#This Row],[FL_DATE]],"yyyy-mm")</f>
        <v>2019-06</v>
      </c>
      <c r="C236" t="s">
        <v>148</v>
      </c>
      <c r="D236" t="s">
        <v>149</v>
      </c>
      <c r="E236" t="s">
        <v>150</v>
      </c>
      <c r="F236">
        <v>20304</v>
      </c>
      <c r="G236">
        <v>3873</v>
      </c>
      <c r="H236" t="s">
        <v>146</v>
      </c>
      <c r="I236" t="s">
        <v>147</v>
      </c>
      <c r="J236" t="s">
        <v>318</v>
      </c>
      <c r="K236" t="s">
        <v>319</v>
      </c>
      <c r="L236">
        <v>1100</v>
      </c>
      <c r="M236" s="2">
        <v>1108</v>
      </c>
      <c r="N236">
        <v>8</v>
      </c>
      <c r="O236" t="str">
        <f>IF(flights_sample_3m[[#This Row],[DEP_DELAY]]&lt;=15,"No delay",IF(flights_sample_3m[[#This Row],[DEP_DELAY]]&lt;=60,"Short Delay","Long Delay"))</f>
        <v>No delay</v>
      </c>
      <c r="P236" t="str">
        <f>IF(flights_sample_3m[[#This Row],[DEP_DELAY]]&lt;=15,"Delayed","On Time")</f>
        <v>Delayed</v>
      </c>
      <c r="Q236">
        <v>18</v>
      </c>
      <c r="R236">
        <v>1126</v>
      </c>
      <c r="S236">
        <v>1236</v>
      </c>
      <c r="T236">
        <v>2</v>
      </c>
      <c r="U236">
        <v>1237</v>
      </c>
      <c r="V236" s="2">
        <v>1238</v>
      </c>
      <c r="W236">
        <v>1</v>
      </c>
      <c r="X236">
        <v>0</v>
      </c>
      <c r="Y236">
        <v>0</v>
      </c>
      <c r="Z236">
        <v>0</v>
      </c>
      <c r="AA236">
        <v>97</v>
      </c>
      <c r="AB236">
        <v>90</v>
      </c>
      <c r="AC236">
        <v>70</v>
      </c>
      <c r="AD236">
        <v>402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">
      <c r="A237" s="1">
        <v>44409</v>
      </c>
      <c r="B237" s="1" t="str">
        <f>TEXT(flights_sample_3m[[#This Row],[FL_DATE]],"yyyy-mm")</f>
        <v>2021-08</v>
      </c>
      <c r="C237" t="s">
        <v>64</v>
      </c>
      <c r="D237" t="s">
        <v>65</v>
      </c>
      <c r="E237" t="s">
        <v>66</v>
      </c>
      <c r="F237">
        <v>19805</v>
      </c>
      <c r="G237">
        <v>1506</v>
      </c>
      <c r="H237" t="s">
        <v>157</v>
      </c>
      <c r="I237" t="s">
        <v>158</v>
      </c>
      <c r="J237" t="s">
        <v>55</v>
      </c>
      <c r="K237" t="s">
        <v>56</v>
      </c>
      <c r="L237">
        <v>1215</v>
      </c>
      <c r="M237" s="2">
        <v>1209</v>
      </c>
      <c r="N237">
        <v>-6</v>
      </c>
      <c r="O237" t="str">
        <f>IF(flights_sample_3m[[#This Row],[DEP_DELAY]]&lt;=15,"No delay",IF(flights_sample_3m[[#This Row],[DEP_DELAY]]&lt;=60,"Short Delay","Long Delay"))</f>
        <v>No delay</v>
      </c>
      <c r="P237" t="str">
        <f>IF(flights_sample_3m[[#This Row],[DEP_DELAY]]&lt;=15,"Delayed","On Time")</f>
        <v>Delayed</v>
      </c>
      <c r="Q237">
        <v>14</v>
      </c>
      <c r="R237">
        <v>1223</v>
      </c>
      <c r="S237">
        <v>1310</v>
      </c>
      <c r="T237">
        <v>14</v>
      </c>
      <c r="U237">
        <v>1333</v>
      </c>
      <c r="V237" s="2">
        <v>1324</v>
      </c>
      <c r="W237">
        <v>-9</v>
      </c>
      <c r="X237">
        <v>0</v>
      </c>
      <c r="Y237">
        <v>0</v>
      </c>
      <c r="Z237">
        <v>0</v>
      </c>
      <c r="AA237">
        <v>138</v>
      </c>
      <c r="AB237">
        <v>135</v>
      </c>
      <c r="AC237">
        <v>107</v>
      </c>
      <c r="AD237">
        <v>761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">
      <c r="A238" s="1">
        <v>43935</v>
      </c>
      <c r="B238" s="1" t="str">
        <f>TEXT(flights_sample_3m[[#This Row],[FL_DATE]],"yyyy-mm")</f>
        <v>2020-04</v>
      </c>
      <c r="C238" t="s">
        <v>57</v>
      </c>
      <c r="D238" t="s">
        <v>58</v>
      </c>
      <c r="E238" t="s">
        <v>59</v>
      </c>
      <c r="F238">
        <v>19393</v>
      </c>
      <c r="G238">
        <v>446</v>
      </c>
      <c r="H238" t="s">
        <v>129</v>
      </c>
      <c r="I238" t="s">
        <v>130</v>
      </c>
      <c r="J238" t="s">
        <v>320</v>
      </c>
      <c r="K238" t="s">
        <v>77</v>
      </c>
      <c r="L238">
        <v>500</v>
      </c>
      <c r="M238" s="2">
        <v>0</v>
      </c>
      <c r="N238">
        <v>0</v>
      </c>
      <c r="O238" t="str">
        <f>IF(flights_sample_3m[[#This Row],[DEP_DELAY]]&lt;=15,"No delay",IF(flights_sample_3m[[#This Row],[DEP_DELAY]]&lt;=60,"Short Delay","Long Delay"))</f>
        <v>No delay</v>
      </c>
      <c r="P238" t="str">
        <f>IF(flights_sample_3m[[#This Row],[DEP_DELAY]]&lt;=15,"Delayed","On Time")</f>
        <v>Delayed</v>
      </c>
      <c r="Q238">
        <v>0</v>
      </c>
      <c r="R238">
        <v>0</v>
      </c>
      <c r="S238">
        <v>0</v>
      </c>
      <c r="T238">
        <v>0</v>
      </c>
      <c r="U238">
        <v>955</v>
      </c>
      <c r="V238" s="2">
        <v>0</v>
      </c>
      <c r="W238">
        <v>0</v>
      </c>
      <c r="X238">
        <v>1</v>
      </c>
      <c r="Y238" t="s">
        <v>97</v>
      </c>
      <c r="Z238">
        <v>0</v>
      </c>
      <c r="AA238">
        <v>175</v>
      </c>
      <c r="AB238">
        <v>0</v>
      </c>
      <c r="AC238">
        <v>0</v>
      </c>
      <c r="AD238">
        <v>1235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">
      <c r="A239" s="1">
        <v>44987</v>
      </c>
      <c r="B239" s="1" t="str">
        <f>TEXT(flights_sample_3m[[#This Row],[FL_DATE]],"yyyy-mm")</f>
        <v>2023-03</v>
      </c>
      <c r="C239" t="s">
        <v>32</v>
      </c>
      <c r="D239" t="s">
        <v>33</v>
      </c>
      <c r="E239" t="s">
        <v>34</v>
      </c>
      <c r="F239">
        <v>19977</v>
      </c>
      <c r="G239">
        <v>1578</v>
      </c>
      <c r="H239" t="s">
        <v>76</v>
      </c>
      <c r="I239" t="s">
        <v>77</v>
      </c>
      <c r="J239" t="s">
        <v>78</v>
      </c>
      <c r="K239" t="s">
        <v>79</v>
      </c>
      <c r="L239">
        <v>1640</v>
      </c>
      <c r="M239" s="2">
        <v>1640</v>
      </c>
      <c r="N239">
        <v>0</v>
      </c>
      <c r="O239" t="str">
        <f>IF(flights_sample_3m[[#This Row],[DEP_DELAY]]&lt;=15,"No delay",IF(flights_sample_3m[[#This Row],[DEP_DELAY]]&lt;=60,"Short Delay","Long Delay"))</f>
        <v>No delay</v>
      </c>
      <c r="P239" t="str">
        <f>IF(flights_sample_3m[[#This Row],[DEP_DELAY]]&lt;=15,"Delayed","On Time")</f>
        <v>Delayed</v>
      </c>
      <c r="Q239">
        <v>23</v>
      </c>
      <c r="R239">
        <v>1703</v>
      </c>
      <c r="S239">
        <v>1820</v>
      </c>
      <c r="T239">
        <v>7</v>
      </c>
      <c r="U239">
        <v>1829</v>
      </c>
      <c r="V239" s="2">
        <v>1827</v>
      </c>
      <c r="W239">
        <v>-2</v>
      </c>
      <c r="X239">
        <v>0</v>
      </c>
      <c r="Y239">
        <v>0</v>
      </c>
      <c r="Z239">
        <v>0</v>
      </c>
      <c r="AA239">
        <v>229</v>
      </c>
      <c r="AB239">
        <v>227</v>
      </c>
      <c r="AC239">
        <v>197</v>
      </c>
      <c r="AD239">
        <v>1379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">
      <c r="A240" s="1">
        <v>44658</v>
      </c>
      <c r="B240" s="1" t="str">
        <f>TEXT(flights_sample_3m[[#This Row],[FL_DATE]],"yyyy-mm")</f>
        <v>2022-04</v>
      </c>
      <c r="C240" t="s">
        <v>148</v>
      </c>
      <c r="D240" t="s">
        <v>149</v>
      </c>
      <c r="E240" t="s">
        <v>150</v>
      </c>
      <c r="F240">
        <v>20304</v>
      </c>
      <c r="G240">
        <v>4633</v>
      </c>
      <c r="H240" t="s">
        <v>321</v>
      </c>
      <c r="I240" t="s">
        <v>322</v>
      </c>
      <c r="J240" t="s">
        <v>46</v>
      </c>
      <c r="K240" t="s">
        <v>47</v>
      </c>
      <c r="L240">
        <v>930</v>
      </c>
      <c r="M240" s="2">
        <v>924</v>
      </c>
      <c r="N240">
        <v>-6</v>
      </c>
      <c r="O240" t="str">
        <f>IF(flights_sample_3m[[#This Row],[DEP_DELAY]]&lt;=15,"No delay",IF(flights_sample_3m[[#This Row],[DEP_DELAY]]&lt;=60,"Short Delay","Long Delay"))</f>
        <v>No delay</v>
      </c>
      <c r="P240" t="str">
        <f>IF(flights_sample_3m[[#This Row],[DEP_DELAY]]&lt;=15,"Delayed","On Time")</f>
        <v>Delayed</v>
      </c>
      <c r="Q240">
        <v>15</v>
      </c>
      <c r="R240">
        <v>939</v>
      </c>
      <c r="S240">
        <v>952</v>
      </c>
      <c r="T240">
        <v>17</v>
      </c>
      <c r="U240">
        <v>1024</v>
      </c>
      <c r="V240" s="2">
        <v>1009</v>
      </c>
      <c r="W240">
        <v>-15</v>
      </c>
      <c r="X240">
        <v>0</v>
      </c>
      <c r="Y240">
        <v>0</v>
      </c>
      <c r="Z240">
        <v>0</v>
      </c>
      <c r="AA240">
        <v>114</v>
      </c>
      <c r="AB240">
        <v>105</v>
      </c>
      <c r="AC240">
        <v>73</v>
      </c>
      <c r="AD240">
        <v>516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">
      <c r="A241" s="1">
        <v>44699</v>
      </c>
      <c r="B241" s="1" t="str">
        <f>TEXT(flights_sample_3m[[#This Row],[FL_DATE]],"yyyy-mm")</f>
        <v>2022-05</v>
      </c>
      <c r="C241" t="s">
        <v>39</v>
      </c>
      <c r="D241" t="s">
        <v>40</v>
      </c>
      <c r="E241" t="s">
        <v>41</v>
      </c>
      <c r="F241">
        <v>19790</v>
      </c>
      <c r="G241">
        <v>1615</v>
      </c>
      <c r="H241" t="s">
        <v>89</v>
      </c>
      <c r="I241" t="s">
        <v>90</v>
      </c>
      <c r="J241" t="s">
        <v>85</v>
      </c>
      <c r="K241" t="s">
        <v>86</v>
      </c>
      <c r="L241">
        <v>825</v>
      </c>
      <c r="M241" s="2">
        <v>902</v>
      </c>
      <c r="N241">
        <v>37</v>
      </c>
      <c r="O241" t="str">
        <f>IF(flights_sample_3m[[#This Row],[DEP_DELAY]]&lt;=15,"No delay",IF(flights_sample_3m[[#This Row],[DEP_DELAY]]&lt;=60,"Short Delay","Long Delay"))</f>
        <v>Short Delay</v>
      </c>
      <c r="P241" t="str">
        <f>IF(flights_sample_3m[[#This Row],[DEP_DELAY]]&lt;=15,"Delayed","On Time")</f>
        <v>On Time</v>
      </c>
      <c r="Q241">
        <v>20</v>
      </c>
      <c r="R241">
        <v>922</v>
      </c>
      <c r="S241">
        <v>1019</v>
      </c>
      <c r="T241">
        <v>6</v>
      </c>
      <c r="U241">
        <v>955</v>
      </c>
      <c r="V241" s="2">
        <v>1025</v>
      </c>
      <c r="W241">
        <v>30</v>
      </c>
      <c r="X241">
        <v>0</v>
      </c>
      <c r="Y241">
        <v>0</v>
      </c>
      <c r="Z241">
        <v>0</v>
      </c>
      <c r="AA241">
        <v>90</v>
      </c>
      <c r="AB241">
        <v>83</v>
      </c>
      <c r="AC241">
        <v>57</v>
      </c>
      <c r="AD241">
        <v>356</v>
      </c>
      <c r="AE241">
        <v>30</v>
      </c>
      <c r="AF241">
        <v>0</v>
      </c>
      <c r="AG241">
        <v>0</v>
      </c>
      <c r="AH241">
        <v>0</v>
      </c>
      <c r="AI241">
        <v>0</v>
      </c>
    </row>
    <row r="242" spans="1:35" x14ac:dyDescent="0.3">
      <c r="A242" s="1">
        <v>43732</v>
      </c>
      <c r="B242" s="1" t="str">
        <f>TEXT(flights_sample_3m[[#This Row],[FL_DATE]],"yyyy-mm")</f>
        <v>2019-09</v>
      </c>
      <c r="C242" t="s">
        <v>39</v>
      </c>
      <c r="D242" t="s">
        <v>40</v>
      </c>
      <c r="E242" t="s">
        <v>41</v>
      </c>
      <c r="F242">
        <v>19790</v>
      </c>
      <c r="G242">
        <v>2027</v>
      </c>
      <c r="H242" t="s">
        <v>42</v>
      </c>
      <c r="I242" t="s">
        <v>43</v>
      </c>
      <c r="J242" t="s">
        <v>323</v>
      </c>
      <c r="K242" t="s">
        <v>324</v>
      </c>
      <c r="L242">
        <v>1429</v>
      </c>
      <c r="M242" s="2">
        <v>1426</v>
      </c>
      <c r="N242">
        <v>-3</v>
      </c>
      <c r="O242" t="str">
        <f>IF(flights_sample_3m[[#This Row],[DEP_DELAY]]&lt;=15,"No delay",IF(flights_sample_3m[[#This Row],[DEP_DELAY]]&lt;=60,"Short Delay","Long Delay"))</f>
        <v>No delay</v>
      </c>
      <c r="P242" t="str">
        <f>IF(flights_sample_3m[[#This Row],[DEP_DELAY]]&lt;=15,"Delayed","On Time")</f>
        <v>Delayed</v>
      </c>
      <c r="Q242">
        <v>16</v>
      </c>
      <c r="R242">
        <v>1442</v>
      </c>
      <c r="S242">
        <v>1617</v>
      </c>
      <c r="T242">
        <v>5</v>
      </c>
      <c r="U242">
        <v>1625</v>
      </c>
      <c r="V242" s="2">
        <v>1622</v>
      </c>
      <c r="W242">
        <v>-3</v>
      </c>
      <c r="X242">
        <v>0</v>
      </c>
      <c r="Y242">
        <v>0</v>
      </c>
      <c r="Z242">
        <v>0</v>
      </c>
      <c r="AA242">
        <v>116</v>
      </c>
      <c r="AB242">
        <v>116</v>
      </c>
      <c r="AC242">
        <v>95</v>
      </c>
      <c r="AD242">
        <v>700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">
      <c r="A243" s="1">
        <v>44328</v>
      </c>
      <c r="B243" s="1" t="str">
        <f>TEXT(flights_sample_3m[[#This Row],[FL_DATE]],"yyyy-mm")</f>
        <v>2021-05</v>
      </c>
      <c r="C243" t="s">
        <v>148</v>
      </c>
      <c r="D243" t="s">
        <v>149</v>
      </c>
      <c r="E243" t="s">
        <v>150</v>
      </c>
      <c r="F243">
        <v>20304</v>
      </c>
      <c r="G243">
        <v>5150</v>
      </c>
      <c r="H243" t="s">
        <v>325</v>
      </c>
      <c r="I243" t="s">
        <v>326</v>
      </c>
      <c r="J243" t="s">
        <v>46</v>
      </c>
      <c r="K243" t="s">
        <v>47</v>
      </c>
      <c r="L243">
        <v>1050</v>
      </c>
      <c r="M243" s="2">
        <v>1047</v>
      </c>
      <c r="N243">
        <v>-3</v>
      </c>
      <c r="O243" t="str">
        <f>IF(flights_sample_3m[[#This Row],[DEP_DELAY]]&lt;=15,"No delay",IF(flights_sample_3m[[#This Row],[DEP_DELAY]]&lt;=60,"Short Delay","Long Delay"))</f>
        <v>No delay</v>
      </c>
      <c r="P243" t="str">
        <f>IF(flights_sample_3m[[#This Row],[DEP_DELAY]]&lt;=15,"Delayed","On Time")</f>
        <v>Delayed</v>
      </c>
      <c r="Q243">
        <v>9</v>
      </c>
      <c r="R243">
        <v>1056</v>
      </c>
      <c r="S243">
        <v>1154</v>
      </c>
      <c r="T243">
        <v>9</v>
      </c>
      <c r="U243">
        <v>1212</v>
      </c>
      <c r="V243" s="2">
        <v>1203</v>
      </c>
      <c r="W243">
        <v>-9</v>
      </c>
      <c r="X243">
        <v>0</v>
      </c>
      <c r="Y243">
        <v>0</v>
      </c>
      <c r="Z243">
        <v>0</v>
      </c>
      <c r="AA243">
        <v>82</v>
      </c>
      <c r="AB243">
        <v>76</v>
      </c>
      <c r="AC243">
        <v>58</v>
      </c>
      <c r="AD243">
        <v>359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">
      <c r="A244" s="1">
        <v>44417</v>
      </c>
      <c r="B244" s="1" t="str">
        <f>TEXT(flights_sample_3m[[#This Row],[FL_DATE]],"yyyy-mm")</f>
        <v>2021-08</v>
      </c>
      <c r="C244" t="s">
        <v>57</v>
      </c>
      <c r="D244" t="s">
        <v>58</v>
      </c>
      <c r="E244" t="s">
        <v>59</v>
      </c>
      <c r="F244">
        <v>19393</v>
      </c>
      <c r="G244">
        <v>608</v>
      </c>
      <c r="H244" t="s">
        <v>151</v>
      </c>
      <c r="I244" t="s">
        <v>152</v>
      </c>
      <c r="J244" t="s">
        <v>309</v>
      </c>
      <c r="K244" t="s">
        <v>310</v>
      </c>
      <c r="L244">
        <v>1235</v>
      </c>
      <c r="M244" s="2">
        <v>1232</v>
      </c>
      <c r="N244">
        <v>-3</v>
      </c>
      <c r="O244" t="str">
        <f>IF(flights_sample_3m[[#This Row],[DEP_DELAY]]&lt;=15,"No delay",IF(flights_sample_3m[[#This Row],[DEP_DELAY]]&lt;=60,"Short Delay","Long Delay"))</f>
        <v>No delay</v>
      </c>
      <c r="P244" t="str">
        <f>IF(flights_sample_3m[[#This Row],[DEP_DELAY]]&lt;=15,"Delayed","On Time")</f>
        <v>Delayed</v>
      </c>
      <c r="Q244">
        <v>9</v>
      </c>
      <c r="R244">
        <v>1241</v>
      </c>
      <c r="S244">
        <v>1330</v>
      </c>
      <c r="T244">
        <v>4</v>
      </c>
      <c r="U244">
        <v>1345</v>
      </c>
      <c r="V244" s="2">
        <v>1334</v>
      </c>
      <c r="W244">
        <v>-11</v>
      </c>
      <c r="X244">
        <v>0</v>
      </c>
      <c r="Y244">
        <v>0</v>
      </c>
      <c r="Z244">
        <v>0</v>
      </c>
      <c r="AA244">
        <v>130</v>
      </c>
      <c r="AB244">
        <v>122</v>
      </c>
      <c r="AC244">
        <v>109</v>
      </c>
      <c r="AD244">
        <v>688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">
      <c r="A245" s="1">
        <v>44497</v>
      </c>
      <c r="B245" s="1" t="str">
        <f>TEXT(flights_sample_3m[[#This Row],[FL_DATE]],"yyyy-mm")</f>
        <v>2021-10</v>
      </c>
      <c r="C245" t="s">
        <v>148</v>
      </c>
      <c r="D245" t="s">
        <v>149</v>
      </c>
      <c r="E245" t="s">
        <v>150</v>
      </c>
      <c r="F245">
        <v>20304</v>
      </c>
      <c r="G245">
        <v>5467</v>
      </c>
      <c r="H245" t="s">
        <v>76</v>
      </c>
      <c r="I245" t="s">
        <v>77</v>
      </c>
      <c r="J245" t="s">
        <v>165</v>
      </c>
      <c r="K245" t="s">
        <v>166</v>
      </c>
      <c r="L245">
        <v>2000</v>
      </c>
      <c r="M245" s="2">
        <v>2011</v>
      </c>
      <c r="N245">
        <v>11</v>
      </c>
      <c r="O245" t="str">
        <f>IF(flights_sample_3m[[#This Row],[DEP_DELAY]]&lt;=15,"No delay",IF(flights_sample_3m[[#This Row],[DEP_DELAY]]&lt;=60,"Short Delay","Long Delay"))</f>
        <v>No delay</v>
      </c>
      <c r="P245" t="str">
        <f>IF(flights_sample_3m[[#This Row],[DEP_DELAY]]&lt;=15,"Delayed","On Time")</f>
        <v>Delayed</v>
      </c>
      <c r="Q245">
        <v>25</v>
      </c>
      <c r="R245">
        <v>2036</v>
      </c>
      <c r="S245">
        <v>2049</v>
      </c>
      <c r="T245">
        <v>5</v>
      </c>
      <c r="U245">
        <v>2040</v>
      </c>
      <c r="V245" s="2">
        <v>2054</v>
      </c>
      <c r="W245">
        <v>14</v>
      </c>
      <c r="X245">
        <v>0</v>
      </c>
      <c r="Y245">
        <v>0</v>
      </c>
      <c r="Z245">
        <v>0</v>
      </c>
      <c r="AA245">
        <v>160</v>
      </c>
      <c r="AB245">
        <v>163</v>
      </c>
      <c r="AC245">
        <v>133</v>
      </c>
      <c r="AD245">
        <v>936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">
      <c r="A246" s="1">
        <v>44055</v>
      </c>
      <c r="B246" s="1" t="str">
        <f>TEXT(flights_sample_3m[[#This Row],[FL_DATE]],"yyyy-mm")</f>
        <v>2020-08</v>
      </c>
      <c r="C246" t="s">
        <v>57</v>
      </c>
      <c r="D246" t="s">
        <v>58</v>
      </c>
      <c r="E246" t="s">
        <v>59</v>
      </c>
      <c r="F246">
        <v>19393</v>
      </c>
      <c r="G246">
        <v>1747</v>
      </c>
      <c r="H246" t="s">
        <v>87</v>
      </c>
      <c r="I246" t="s">
        <v>88</v>
      </c>
      <c r="J246" t="s">
        <v>98</v>
      </c>
      <c r="K246" t="s">
        <v>99</v>
      </c>
      <c r="L246">
        <v>1235</v>
      </c>
      <c r="M246" s="2">
        <v>1229</v>
      </c>
      <c r="N246">
        <v>-6</v>
      </c>
      <c r="O246" t="str">
        <f>IF(flights_sample_3m[[#This Row],[DEP_DELAY]]&lt;=15,"No delay",IF(flights_sample_3m[[#This Row],[DEP_DELAY]]&lt;=60,"Short Delay","Long Delay"))</f>
        <v>No delay</v>
      </c>
      <c r="P246" t="str">
        <f>IF(flights_sample_3m[[#This Row],[DEP_DELAY]]&lt;=15,"Delayed","On Time")</f>
        <v>Delayed</v>
      </c>
      <c r="Q246">
        <v>9</v>
      </c>
      <c r="R246">
        <v>1238</v>
      </c>
      <c r="S246">
        <v>1325</v>
      </c>
      <c r="T246">
        <v>12</v>
      </c>
      <c r="U246">
        <v>1350</v>
      </c>
      <c r="V246" s="2">
        <v>1337</v>
      </c>
      <c r="W246">
        <v>-13</v>
      </c>
      <c r="X246">
        <v>0</v>
      </c>
      <c r="Y246">
        <v>0</v>
      </c>
      <c r="Z246">
        <v>0</v>
      </c>
      <c r="AA246">
        <v>75</v>
      </c>
      <c r="AB246">
        <v>68</v>
      </c>
      <c r="AC246">
        <v>47</v>
      </c>
      <c r="AD246">
        <v>283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">
      <c r="A247" s="1">
        <v>44734</v>
      </c>
      <c r="B247" s="1" t="str">
        <f>TEXT(flights_sample_3m[[#This Row],[FL_DATE]],"yyyy-mm")</f>
        <v>2022-06</v>
      </c>
      <c r="C247" t="s">
        <v>57</v>
      </c>
      <c r="D247" t="s">
        <v>58</v>
      </c>
      <c r="E247" t="s">
        <v>59</v>
      </c>
      <c r="F247">
        <v>19393</v>
      </c>
      <c r="G247">
        <v>1939</v>
      </c>
      <c r="H247" t="s">
        <v>142</v>
      </c>
      <c r="I247" t="s">
        <v>143</v>
      </c>
      <c r="J247" t="s">
        <v>327</v>
      </c>
      <c r="K247" t="s">
        <v>328</v>
      </c>
      <c r="L247">
        <v>1740</v>
      </c>
      <c r="M247" s="2">
        <v>1818</v>
      </c>
      <c r="N247">
        <v>38</v>
      </c>
      <c r="O247" t="str">
        <f>IF(flights_sample_3m[[#This Row],[DEP_DELAY]]&lt;=15,"No delay",IF(flights_sample_3m[[#This Row],[DEP_DELAY]]&lt;=60,"Short Delay","Long Delay"))</f>
        <v>Short Delay</v>
      </c>
      <c r="P247" t="str">
        <f>IF(flights_sample_3m[[#This Row],[DEP_DELAY]]&lt;=15,"Delayed","On Time")</f>
        <v>On Time</v>
      </c>
      <c r="Q247">
        <v>10</v>
      </c>
      <c r="R247">
        <v>1828</v>
      </c>
      <c r="S247">
        <v>1939</v>
      </c>
      <c r="T247">
        <v>3</v>
      </c>
      <c r="U247">
        <v>1905</v>
      </c>
      <c r="V247" s="2">
        <v>1942</v>
      </c>
      <c r="W247">
        <v>37</v>
      </c>
      <c r="X247">
        <v>0</v>
      </c>
      <c r="Y247">
        <v>0</v>
      </c>
      <c r="Z247">
        <v>0</v>
      </c>
      <c r="AA247">
        <v>85</v>
      </c>
      <c r="AB247">
        <v>84</v>
      </c>
      <c r="AC247">
        <v>71</v>
      </c>
      <c r="AD247">
        <v>402</v>
      </c>
      <c r="AE247">
        <v>3</v>
      </c>
      <c r="AF247">
        <v>0</v>
      </c>
      <c r="AG247">
        <v>0</v>
      </c>
      <c r="AH247">
        <v>0</v>
      </c>
      <c r="AI247">
        <v>34</v>
      </c>
    </row>
    <row r="248" spans="1:35" x14ac:dyDescent="0.3">
      <c r="A248" s="1">
        <v>44624</v>
      </c>
      <c r="B248" s="1" t="str">
        <f>TEXT(flights_sample_3m[[#This Row],[FL_DATE]],"yyyy-mm")</f>
        <v>2022-03</v>
      </c>
      <c r="C248" t="s">
        <v>148</v>
      </c>
      <c r="D248" t="s">
        <v>149</v>
      </c>
      <c r="E248" t="s">
        <v>150</v>
      </c>
      <c r="F248">
        <v>20304</v>
      </c>
      <c r="G248">
        <v>3017</v>
      </c>
      <c r="H248" t="s">
        <v>249</v>
      </c>
      <c r="I248" t="s">
        <v>250</v>
      </c>
      <c r="J248" t="s">
        <v>106</v>
      </c>
      <c r="K248" t="s">
        <v>92</v>
      </c>
      <c r="L248">
        <v>705</v>
      </c>
      <c r="M248" s="2">
        <v>659</v>
      </c>
      <c r="N248">
        <v>-6</v>
      </c>
      <c r="O248" t="str">
        <f>IF(flights_sample_3m[[#This Row],[DEP_DELAY]]&lt;=15,"No delay",IF(flights_sample_3m[[#This Row],[DEP_DELAY]]&lt;=60,"Short Delay","Long Delay"))</f>
        <v>No delay</v>
      </c>
      <c r="P248" t="str">
        <f>IF(flights_sample_3m[[#This Row],[DEP_DELAY]]&lt;=15,"Delayed","On Time")</f>
        <v>Delayed</v>
      </c>
      <c r="Q248">
        <v>13</v>
      </c>
      <c r="R248">
        <v>712</v>
      </c>
      <c r="S248">
        <v>825</v>
      </c>
      <c r="T248">
        <v>15</v>
      </c>
      <c r="U248">
        <v>842</v>
      </c>
      <c r="V248" s="2">
        <v>840</v>
      </c>
      <c r="W248">
        <v>-2</v>
      </c>
      <c r="X248">
        <v>0</v>
      </c>
      <c r="Y248">
        <v>0</v>
      </c>
      <c r="Z248">
        <v>0</v>
      </c>
      <c r="AA248">
        <v>157</v>
      </c>
      <c r="AB248">
        <v>161</v>
      </c>
      <c r="AC248">
        <v>133</v>
      </c>
      <c r="AD248">
        <v>738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">
      <c r="A249" s="1">
        <v>43622</v>
      </c>
      <c r="B249" s="1" t="str">
        <f>TEXT(flights_sample_3m[[#This Row],[FL_DATE]],"yyyy-mm")</f>
        <v>2019-06</v>
      </c>
      <c r="C249" t="s">
        <v>148</v>
      </c>
      <c r="D249" t="s">
        <v>149</v>
      </c>
      <c r="E249" t="s">
        <v>150</v>
      </c>
      <c r="F249">
        <v>20304</v>
      </c>
      <c r="G249">
        <v>5650</v>
      </c>
      <c r="H249" t="s">
        <v>106</v>
      </c>
      <c r="I249" t="s">
        <v>92</v>
      </c>
      <c r="J249" t="s">
        <v>329</v>
      </c>
      <c r="K249" t="s">
        <v>330</v>
      </c>
      <c r="L249">
        <v>600</v>
      </c>
      <c r="M249" s="2">
        <v>553</v>
      </c>
      <c r="N249">
        <v>-7</v>
      </c>
      <c r="O249" t="str">
        <f>IF(flights_sample_3m[[#This Row],[DEP_DELAY]]&lt;=15,"No delay",IF(flights_sample_3m[[#This Row],[DEP_DELAY]]&lt;=60,"Short Delay","Long Delay"))</f>
        <v>No delay</v>
      </c>
      <c r="P249" t="str">
        <f>IF(flights_sample_3m[[#This Row],[DEP_DELAY]]&lt;=15,"Delayed","On Time")</f>
        <v>Delayed</v>
      </c>
      <c r="Q249">
        <v>20</v>
      </c>
      <c r="R249">
        <v>613</v>
      </c>
      <c r="S249">
        <v>855</v>
      </c>
      <c r="T249">
        <v>8</v>
      </c>
      <c r="U249">
        <v>914</v>
      </c>
      <c r="V249" s="2">
        <v>903</v>
      </c>
      <c r="W249">
        <v>-11</v>
      </c>
      <c r="X249">
        <v>0</v>
      </c>
      <c r="Y249">
        <v>0</v>
      </c>
      <c r="Z249">
        <v>0</v>
      </c>
      <c r="AA249">
        <v>134</v>
      </c>
      <c r="AB249">
        <v>130</v>
      </c>
      <c r="AC249">
        <v>102</v>
      </c>
      <c r="AD249">
        <v>773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">
      <c r="A250" s="1">
        <v>43858</v>
      </c>
      <c r="B250" s="1" t="str">
        <f>TEXT(flights_sample_3m[[#This Row],[FL_DATE]],"yyyy-mm")</f>
        <v>2020-01</v>
      </c>
      <c r="C250" t="s">
        <v>148</v>
      </c>
      <c r="D250" t="s">
        <v>149</v>
      </c>
      <c r="E250" t="s">
        <v>150</v>
      </c>
      <c r="F250">
        <v>20304</v>
      </c>
      <c r="G250">
        <v>3256</v>
      </c>
      <c r="H250" t="s">
        <v>201</v>
      </c>
      <c r="I250" t="s">
        <v>202</v>
      </c>
      <c r="J250" t="s">
        <v>241</v>
      </c>
      <c r="K250" t="s">
        <v>242</v>
      </c>
      <c r="L250">
        <v>1536</v>
      </c>
      <c r="M250" s="2">
        <v>1529</v>
      </c>
      <c r="N250">
        <v>-7</v>
      </c>
      <c r="O250" t="str">
        <f>IF(flights_sample_3m[[#This Row],[DEP_DELAY]]&lt;=15,"No delay",IF(flights_sample_3m[[#This Row],[DEP_DELAY]]&lt;=60,"Short Delay","Long Delay"))</f>
        <v>No delay</v>
      </c>
      <c r="P250" t="str">
        <f>IF(flights_sample_3m[[#This Row],[DEP_DELAY]]&lt;=15,"Delayed","On Time")</f>
        <v>Delayed</v>
      </c>
      <c r="Q250">
        <v>20</v>
      </c>
      <c r="R250">
        <v>1549</v>
      </c>
      <c r="S250">
        <v>1702</v>
      </c>
      <c r="T250">
        <v>4</v>
      </c>
      <c r="U250">
        <v>1704</v>
      </c>
      <c r="V250" s="2">
        <v>1706</v>
      </c>
      <c r="W250">
        <v>2</v>
      </c>
      <c r="X250">
        <v>0</v>
      </c>
      <c r="Y250">
        <v>0</v>
      </c>
      <c r="Z250">
        <v>0</v>
      </c>
      <c r="AA250">
        <v>148</v>
      </c>
      <c r="AB250">
        <v>157</v>
      </c>
      <c r="AC250">
        <v>133</v>
      </c>
      <c r="AD250">
        <v>854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">
      <c r="A251" s="1">
        <v>44947</v>
      </c>
      <c r="B251" s="1" t="str">
        <f>TEXT(flights_sample_3m[[#This Row],[FL_DATE]],"yyyy-mm")</f>
        <v>2023-01</v>
      </c>
      <c r="C251" t="s">
        <v>39</v>
      </c>
      <c r="D251" t="s">
        <v>40</v>
      </c>
      <c r="E251" t="s">
        <v>41</v>
      </c>
      <c r="F251">
        <v>19790</v>
      </c>
      <c r="G251">
        <v>1015</v>
      </c>
      <c r="H251" t="s">
        <v>53</v>
      </c>
      <c r="I251" t="s">
        <v>54</v>
      </c>
      <c r="J251" t="s">
        <v>110</v>
      </c>
      <c r="K251" t="s">
        <v>111</v>
      </c>
      <c r="L251">
        <v>1145</v>
      </c>
      <c r="M251" s="2">
        <v>1145</v>
      </c>
      <c r="N251">
        <v>0</v>
      </c>
      <c r="O251" t="str">
        <f>IF(flights_sample_3m[[#This Row],[DEP_DELAY]]&lt;=15,"No delay",IF(flights_sample_3m[[#This Row],[DEP_DELAY]]&lt;=60,"Short Delay","Long Delay"))</f>
        <v>No delay</v>
      </c>
      <c r="P251" t="str">
        <f>IF(flights_sample_3m[[#This Row],[DEP_DELAY]]&lt;=15,"Delayed","On Time")</f>
        <v>Delayed</v>
      </c>
      <c r="Q251">
        <v>15</v>
      </c>
      <c r="R251">
        <v>1200</v>
      </c>
      <c r="S251">
        <v>1401</v>
      </c>
      <c r="T251">
        <v>7</v>
      </c>
      <c r="U251">
        <v>1417</v>
      </c>
      <c r="V251" s="2">
        <v>1408</v>
      </c>
      <c r="W251">
        <v>-9</v>
      </c>
      <c r="X251">
        <v>0</v>
      </c>
      <c r="Y251">
        <v>0</v>
      </c>
      <c r="Z251">
        <v>0</v>
      </c>
      <c r="AA251">
        <v>152</v>
      </c>
      <c r="AB251">
        <v>143</v>
      </c>
      <c r="AC251">
        <v>121</v>
      </c>
      <c r="AD251">
        <v>944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">
      <c r="A252" s="1">
        <v>44058</v>
      </c>
      <c r="B252" s="1" t="str">
        <f>TEXT(flights_sample_3m[[#This Row],[FL_DATE]],"yyyy-mm")</f>
        <v>2020-08</v>
      </c>
      <c r="C252" t="s">
        <v>64</v>
      </c>
      <c r="D252" t="s">
        <v>65</v>
      </c>
      <c r="E252" t="s">
        <v>66</v>
      </c>
      <c r="F252">
        <v>19805</v>
      </c>
      <c r="G252">
        <v>2634</v>
      </c>
      <c r="H252" t="s">
        <v>106</v>
      </c>
      <c r="I252" t="s">
        <v>92</v>
      </c>
      <c r="J252" t="s">
        <v>48</v>
      </c>
      <c r="K252" t="s">
        <v>49</v>
      </c>
      <c r="L252">
        <v>950</v>
      </c>
      <c r="M252" s="2">
        <v>947</v>
      </c>
      <c r="N252">
        <v>-3</v>
      </c>
      <c r="O252" t="str">
        <f>IF(flights_sample_3m[[#This Row],[DEP_DELAY]]&lt;=15,"No delay",IF(flights_sample_3m[[#This Row],[DEP_DELAY]]&lt;=60,"Short Delay","Long Delay"))</f>
        <v>No delay</v>
      </c>
      <c r="P252" t="str">
        <f>IF(flights_sample_3m[[#This Row],[DEP_DELAY]]&lt;=15,"Delayed","On Time")</f>
        <v>Delayed</v>
      </c>
      <c r="Q252">
        <v>15</v>
      </c>
      <c r="R252">
        <v>1002</v>
      </c>
      <c r="S252">
        <v>1208</v>
      </c>
      <c r="T252">
        <v>5</v>
      </c>
      <c r="U252">
        <v>1228</v>
      </c>
      <c r="V252" s="2">
        <v>1213</v>
      </c>
      <c r="W252">
        <v>-15</v>
      </c>
      <c r="X252">
        <v>0</v>
      </c>
      <c r="Y252">
        <v>0</v>
      </c>
      <c r="Z252">
        <v>0</v>
      </c>
      <c r="AA252">
        <v>278</v>
      </c>
      <c r="AB252">
        <v>266</v>
      </c>
      <c r="AC252">
        <v>246</v>
      </c>
      <c r="AD252">
        <v>1846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">
      <c r="A253" s="1">
        <v>44097</v>
      </c>
      <c r="B253" s="1" t="str">
        <f>TEXT(flights_sample_3m[[#This Row],[FL_DATE]],"yyyy-mm")</f>
        <v>2020-09</v>
      </c>
      <c r="C253" t="s">
        <v>57</v>
      </c>
      <c r="D253" t="s">
        <v>58</v>
      </c>
      <c r="E253" t="s">
        <v>59</v>
      </c>
      <c r="F253">
        <v>19393</v>
      </c>
      <c r="G253">
        <v>1522</v>
      </c>
      <c r="H253" t="s">
        <v>93</v>
      </c>
      <c r="I253" t="s">
        <v>94</v>
      </c>
      <c r="J253" t="s">
        <v>60</v>
      </c>
      <c r="K253" t="s">
        <v>61</v>
      </c>
      <c r="L253">
        <v>2055</v>
      </c>
      <c r="M253" s="2">
        <v>2045</v>
      </c>
      <c r="N253">
        <v>-10</v>
      </c>
      <c r="O253" t="str">
        <f>IF(flights_sample_3m[[#This Row],[DEP_DELAY]]&lt;=15,"No delay",IF(flights_sample_3m[[#This Row],[DEP_DELAY]]&lt;=60,"Short Delay","Long Delay"))</f>
        <v>No delay</v>
      </c>
      <c r="P253" t="str">
        <f>IF(flights_sample_3m[[#This Row],[DEP_DELAY]]&lt;=15,"Delayed","On Time")</f>
        <v>Delayed</v>
      </c>
      <c r="Q253">
        <v>8</v>
      </c>
      <c r="R253">
        <v>2053</v>
      </c>
      <c r="S253">
        <v>2227</v>
      </c>
      <c r="T253">
        <v>2</v>
      </c>
      <c r="U253">
        <v>2245</v>
      </c>
      <c r="V253" s="2">
        <v>2229</v>
      </c>
      <c r="W253">
        <v>-16</v>
      </c>
      <c r="X253">
        <v>0</v>
      </c>
      <c r="Y253">
        <v>0</v>
      </c>
      <c r="Z253">
        <v>0</v>
      </c>
      <c r="AA253">
        <v>110</v>
      </c>
      <c r="AB253">
        <v>104</v>
      </c>
      <c r="AC253">
        <v>94</v>
      </c>
      <c r="AD253">
        <v>623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">
      <c r="A254" s="1">
        <v>44886</v>
      </c>
      <c r="B254" s="1" t="str">
        <f>TEXT(flights_sample_3m[[#This Row],[FL_DATE]],"yyyy-mm")</f>
        <v>2022-11</v>
      </c>
      <c r="C254" t="s">
        <v>189</v>
      </c>
      <c r="D254" t="s">
        <v>190</v>
      </c>
      <c r="E254" t="s">
        <v>191</v>
      </c>
      <c r="F254">
        <v>20436</v>
      </c>
      <c r="G254">
        <v>680</v>
      </c>
      <c r="H254" t="s">
        <v>46</v>
      </c>
      <c r="I254" t="s">
        <v>47</v>
      </c>
      <c r="J254" t="s">
        <v>53</v>
      </c>
      <c r="K254" t="s">
        <v>54</v>
      </c>
      <c r="L254">
        <v>730</v>
      </c>
      <c r="M254" s="2">
        <v>737</v>
      </c>
      <c r="N254">
        <v>7</v>
      </c>
      <c r="O254" t="str">
        <f>IF(flights_sample_3m[[#This Row],[DEP_DELAY]]&lt;=15,"No delay",IF(flights_sample_3m[[#This Row],[DEP_DELAY]]&lt;=60,"Short Delay","Long Delay"))</f>
        <v>No delay</v>
      </c>
      <c r="P254" t="str">
        <f>IF(flights_sample_3m[[#This Row],[DEP_DELAY]]&lt;=15,"Delayed","On Time")</f>
        <v>Delayed</v>
      </c>
      <c r="Q254">
        <v>14</v>
      </c>
      <c r="R254">
        <v>751</v>
      </c>
      <c r="S254">
        <v>1259</v>
      </c>
      <c r="T254">
        <v>7</v>
      </c>
      <c r="U254">
        <v>1308</v>
      </c>
      <c r="V254" s="2">
        <v>1306</v>
      </c>
      <c r="W254">
        <v>-2</v>
      </c>
      <c r="X254">
        <v>0</v>
      </c>
      <c r="Y254">
        <v>0</v>
      </c>
      <c r="Z254">
        <v>0</v>
      </c>
      <c r="AA254">
        <v>218</v>
      </c>
      <c r="AB254">
        <v>209</v>
      </c>
      <c r="AC254">
        <v>188</v>
      </c>
      <c r="AD254">
        <v>1546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">
      <c r="A255" s="1">
        <v>44120</v>
      </c>
      <c r="B255" s="1" t="str">
        <f>TEXT(flights_sample_3m[[#This Row],[FL_DATE]],"yyyy-mm")</f>
        <v>2020-10</v>
      </c>
      <c r="C255" t="s">
        <v>148</v>
      </c>
      <c r="D255" t="s">
        <v>149</v>
      </c>
      <c r="E255" t="s">
        <v>150</v>
      </c>
      <c r="F255">
        <v>20304</v>
      </c>
      <c r="G255">
        <v>3767</v>
      </c>
      <c r="H255" t="s">
        <v>42</v>
      </c>
      <c r="I255" t="s">
        <v>43</v>
      </c>
      <c r="J255" t="s">
        <v>331</v>
      </c>
      <c r="K255" t="s">
        <v>332</v>
      </c>
      <c r="L255">
        <v>2050</v>
      </c>
      <c r="M255" s="2">
        <v>2048</v>
      </c>
      <c r="N255">
        <v>-2</v>
      </c>
      <c r="O255" t="str">
        <f>IF(flights_sample_3m[[#This Row],[DEP_DELAY]]&lt;=15,"No delay",IF(flights_sample_3m[[#This Row],[DEP_DELAY]]&lt;=60,"Short Delay","Long Delay"))</f>
        <v>No delay</v>
      </c>
      <c r="P255" t="str">
        <f>IF(flights_sample_3m[[#This Row],[DEP_DELAY]]&lt;=15,"Delayed","On Time")</f>
        <v>Delayed</v>
      </c>
      <c r="Q255">
        <v>9</v>
      </c>
      <c r="R255">
        <v>2057</v>
      </c>
      <c r="S255">
        <v>2150</v>
      </c>
      <c r="T255">
        <v>3</v>
      </c>
      <c r="U255">
        <v>2206</v>
      </c>
      <c r="V255" s="2">
        <v>2153</v>
      </c>
      <c r="W255">
        <v>-13</v>
      </c>
      <c r="X255">
        <v>0</v>
      </c>
      <c r="Y255">
        <v>0</v>
      </c>
      <c r="Z255">
        <v>0</v>
      </c>
      <c r="AA255">
        <v>76</v>
      </c>
      <c r="AB255">
        <v>65</v>
      </c>
      <c r="AC255">
        <v>53</v>
      </c>
      <c r="AD255">
        <v>284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">
      <c r="A256" s="1">
        <v>44783</v>
      </c>
      <c r="B256" s="1" t="str">
        <f>TEXT(flights_sample_3m[[#This Row],[FL_DATE]],"yyyy-mm")</f>
        <v>2022-08</v>
      </c>
      <c r="C256" t="s">
        <v>57</v>
      </c>
      <c r="D256" t="s">
        <v>58</v>
      </c>
      <c r="E256" t="s">
        <v>59</v>
      </c>
      <c r="F256">
        <v>19393</v>
      </c>
      <c r="G256">
        <v>1308</v>
      </c>
      <c r="H256" t="s">
        <v>153</v>
      </c>
      <c r="I256" t="s">
        <v>154</v>
      </c>
      <c r="J256" t="s">
        <v>85</v>
      </c>
      <c r="K256" t="s">
        <v>86</v>
      </c>
      <c r="L256">
        <v>1810</v>
      </c>
      <c r="M256" s="2">
        <v>1825</v>
      </c>
      <c r="N256">
        <v>15</v>
      </c>
      <c r="O256" t="str">
        <f>IF(flights_sample_3m[[#This Row],[DEP_DELAY]]&lt;=15,"No delay",IF(flights_sample_3m[[#This Row],[DEP_DELAY]]&lt;=60,"Short Delay","Long Delay"))</f>
        <v>No delay</v>
      </c>
      <c r="P256" t="str">
        <f>IF(flights_sample_3m[[#This Row],[DEP_DELAY]]&lt;=15,"Delayed","On Time")</f>
        <v>Delayed</v>
      </c>
      <c r="Q256">
        <v>7</v>
      </c>
      <c r="R256">
        <v>1832</v>
      </c>
      <c r="S256">
        <v>2125</v>
      </c>
      <c r="T256">
        <v>11</v>
      </c>
      <c r="U256">
        <v>2110</v>
      </c>
      <c r="V256" s="2">
        <v>2136</v>
      </c>
      <c r="W256">
        <v>26</v>
      </c>
      <c r="X256">
        <v>0</v>
      </c>
      <c r="Y256">
        <v>0</v>
      </c>
      <c r="Z256">
        <v>0</v>
      </c>
      <c r="AA256">
        <v>120</v>
      </c>
      <c r="AB256">
        <v>131</v>
      </c>
      <c r="AC256">
        <v>113</v>
      </c>
      <c r="AD256">
        <v>692</v>
      </c>
      <c r="AE256">
        <v>12</v>
      </c>
      <c r="AF256">
        <v>0</v>
      </c>
      <c r="AG256">
        <v>11</v>
      </c>
      <c r="AH256">
        <v>0</v>
      </c>
      <c r="AI256">
        <v>3</v>
      </c>
    </row>
    <row r="257" spans="1:35" x14ac:dyDescent="0.3">
      <c r="A257" s="1">
        <v>44807</v>
      </c>
      <c r="B257" s="1" t="str">
        <f>TEXT(flights_sample_3m[[#This Row],[FL_DATE]],"yyyy-mm")</f>
        <v>2022-09</v>
      </c>
      <c r="C257" t="s">
        <v>107</v>
      </c>
      <c r="D257" t="s">
        <v>108</v>
      </c>
      <c r="E257" t="s">
        <v>109</v>
      </c>
      <c r="F257">
        <v>20409</v>
      </c>
      <c r="G257">
        <v>2692</v>
      </c>
      <c r="H257" t="s">
        <v>221</v>
      </c>
      <c r="I257" t="s">
        <v>222</v>
      </c>
      <c r="J257" t="s">
        <v>110</v>
      </c>
      <c r="K257" t="s">
        <v>111</v>
      </c>
      <c r="L257">
        <v>1857</v>
      </c>
      <c r="M257" s="2">
        <v>1855</v>
      </c>
      <c r="N257">
        <v>-2</v>
      </c>
      <c r="O257" t="str">
        <f>IF(flights_sample_3m[[#This Row],[DEP_DELAY]]&lt;=15,"No delay",IF(flights_sample_3m[[#This Row],[DEP_DELAY]]&lt;=60,"Short Delay","Long Delay"))</f>
        <v>No delay</v>
      </c>
      <c r="P257" t="str">
        <f>IF(flights_sample_3m[[#This Row],[DEP_DELAY]]&lt;=15,"Delayed","On Time")</f>
        <v>Delayed</v>
      </c>
      <c r="Q257">
        <v>26</v>
      </c>
      <c r="R257">
        <v>1921</v>
      </c>
      <c r="S257">
        <v>2148</v>
      </c>
      <c r="T257">
        <v>7</v>
      </c>
      <c r="U257">
        <v>2159</v>
      </c>
      <c r="V257" s="2">
        <v>2155</v>
      </c>
      <c r="W257">
        <v>-4</v>
      </c>
      <c r="X257">
        <v>0</v>
      </c>
      <c r="Y257">
        <v>0</v>
      </c>
      <c r="Z257">
        <v>0</v>
      </c>
      <c r="AA257">
        <v>182</v>
      </c>
      <c r="AB257">
        <v>180</v>
      </c>
      <c r="AC257">
        <v>147</v>
      </c>
      <c r="AD257">
        <v>1089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">
      <c r="A258" s="1">
        <v>43466</v>
      </c>
      <c r="B258" s="1" t="str">
        <f>TEXT(flights_sample_3m[[#This Row],[FL_DATE]],"yyyy-mm")</f>
        <v>2019-01</v>
      </c>
      <c r="C258" t="s">
        <v>57</v>
      </c>
      <c r="D258" t="s">
        <v>58</v>
      </c>
      <c r="E258" t="s">
        <v>59</v>
      </c>
      <c r="F258">
        <v>19393</v>
      </c>
      <c r="G258">
        <v>1780</v>
      </c>
      <c r="H258" t="s">
        <v>237</v>
      </c>
      <c r="I258" t="s">
        <v>238</v>
      </c>
      <c r="J258" t="s">
        <v>91</v>
      </c>
      <c r="K258" t="s">
        <v>92</v>
      </c>
      <c r="L258">
        <v>1740</v>
      </c>
      <c r="M258" s="2">
        <v>0</v>
      </c>
      <c r="N258">
        <v>0</v>
      </c>
      <c r="O258" t="str">
        <f>IF(flights_sample_3m[[#This Row],[DEP_DELAY]]&lt;=15,"No delay",IF(flights_sample_3m[[#This Row],[DEP_DELAY]]&lt;=60,"Short Delay","Long Delay"))</f>
        <v>No delay</v>
      </c>
      <c r="P258" t="str">
        <f>IF(flights_sample_3m[[#This Row],[DEP_DELAY]]&lt;=15,"Delayed","On Time")</f>
        <v>Delayed</v>
      </c>
      <c r="Q258">
        <v>0</v>
      </c>
      <c r="R258">
        <v>0</v>
      </c>
      <c r="S258">
        <v>0</v>
      </c>
      <c r="T258">
        <v>0</v>
      </c>
      <c r="U258">
        <v>1925</v>
      </c>
      <c r="V258" s="2">
        <v>0</v>
      </c>
      <c r="W258">
        <v>0</v>
      </c>
      <c r="X258">
        <v>1</v>
      </c>
      <c r="Y258" t="s">
        <v>174</v>
      </c>
      <c r="Z258">
        <v>0</v>
      </c>
      <c r="AA258">
        <v>105</v>
      </c>
      <c r="AB258">
        <v>0</v>
      </c>
      <c r="AC258">
        <v>0</v>
      </c>
      <c r="AD258">
        <v>570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">
      <c r="A259" s="1">
        <v>44692</v>
      </c>
      <c r="B259" s="1" t="str">
        <f>TEXT(flights_sample_3m[[#This Row],[FL_DATE]],"yyyy-mm")</f>
        <v>2022-05</v>
      </c>
      <c r="C259" t="s">
        <v>148</v>
      </c>
      <c r="D259" t="s">
        <v>149</v>
      </c>
      <c r="E259" t="s">
        <v>150</v>
      </c>
      <c r="F259">
        <v>20304</v>
      </c>
      <c r="G259">
        <v>3081</v>
      </c>
      <c r="H259" t="s">
        <v>316</v>
      </c>
      <c r="I259" t="s">
        <v>317</v>
      </c>
      <c r="J259" t="s">
        <v>55</v>
      </c>
      <c r="K259" t="s">
        <v>56</v>
      </c>
      <c r="L259">
        <v>1524</v>
      </c>
      <c r="M259" s="2">
        <v>1520</v>
      </c>
      <c r="N259">
        <v>-4</v>
      </c>
      <c r="O259" t="str">
        <f>IF(flights_sample_3m[[#This Row],[DEP_DELAY]]&lt;=15,"No delay",IF(flights_sample_3m[[#This Row],[DEP_DELAY]]&lt;=60,"Short Delay","Long Delay"))</f>
        <v>No delay</v>
      </c>
      <c r="P259" t="str">
        <f>IF(flights_sample_3m[[#This Row],[DEP_DELAY]]&lt;=15,"Delayed","On Time")</f>
        <v>Delayed</v>
      </c>
      <c r="Q259">
        <v>13</v>
      </c>
      <c r="R259">
        <v>1533</v>
      </c>
      <c r="S259">
        <v>1644</v>
      </c>
      <c r="T259">
        <v>21</v>
      </c>
      <c r="U259">
        <v>1704</v>
      </c>
      <c r="V259" s="2">
        <v>1705</v>
      </c>
      <c r="W259">
        <v>1</v>
      </c>
      <c r="X259">
        <v>0</v>
      </c>
      <c r="Y259">
        <v>0</v>
      </c>
      <c r="Z259">
        <v>0</v>
      </c>
      <c r="AA259">
        <v>100</v>
      </c>
      <c r="AB259">
        <v>105</v>
      </c>
      <c r="AC259">
        <v>71</v>
      </c>
      <c r="AD259">
        <v>461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">
      <c r="A260" s="1">
        <v>43655</v>
      </c>
      <c r="B260" s="1" t="str">
        <f>TEXT(flights_sample_3m[[#This Row],[FL_DATE]],"yyyy-mm")</f>
        <v>2019-07</v>
      </c>
      <c r="C260" t="s">
        <v>80</v>
      </c>
      <c r="D260" t="s">
        <v>81</v>
      </c>
      <c r="E260" t="s">
        <v>82</v>
      </c>
      <c r="F260">
        <v>19930</v>
      </c>
      <c r="G260">
        <v>807</v>
      </c>
      <c r="H260" t="s">
        <v>44</v>
      </c>
      <c r="I260" t="s">
        <v>45</v>
      </c>
      <c r="J260" t="s">
        <v>215</v>
      </c>
      <c r="K260" t="s">
        <v>216</v>
      </c>
      <c r="L260">
        <v>1730</v>
      </c>
      <c r="M260" s="2">
        <v>1725</v>
      </c>
      <c r="N260">
        <v>-5</v>
      </c>
      <c r="O260" t="str">
        <f>IF(flights_sample_3m[[#This Row],[DEP_DELAY]]&lt;=15,"No delay",IF(flights_sample_3m[[#This Row],[DEP_DELAY]]&lt;=60,"Short Delay","Long Delay"))</f>
        <v>No delay</v>
      </c>
      <c r="P260" t="str">
        <f>IF(flights_sample_3m[[#This Row],[DEP_DELAY]]&lt;=15,"Delayed","On Time")</f>
        <v>Delayed</v>
      </c>
      <c r="Q260">
        <v>13</v>
      </c>
      <c r="R260">
        <v>1738</v>
      </c>
      <c r="S260">
        <v>2012</v>
      </c>
      <c r="T260">
        <v>5</v>
      </c>
      <c r="U260">
        <v>2040</v>
      </c>
      <c r="V260" s="2">
        <v>2017</v>
      </c>
      <c r="W260">
        <v>-23</v>
      </c>
      <c r="X260">
        <v>0</v>
      </c>
      <c r="Y260">
        <v>0</v>
      </c>
      <c r="Z260">
        <v>0</v>
      </c>
      <c r="AA260">
        <v>370</v>
      </c>
      <c r="AB260">
        <v>352</v>
      </c>
      <c r="AC260">
        <v>334</v>
      </c>
      <c r="AD260">
        <v>2688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">
      <c r="A261" s="1">
        <v>43726</v>
      </c>
      <c r="B261" s="1" t="str">
        <f>TEXT(flights_sample_3m[[#This Row],[FL_DATE]],"yyyy-mm")</f>
        <v>2019-09</v>
      </c>
      <c r="C261" t="s">
        <v>80</v>
      </c>
      <c r="D261" t="s">
        <v>81</v>
      </c>
      <c r="E261" t="s">
        <v>82</v>
      </c>
      <c r="F261">
        <v>19930</v>
      </c>
      <c r="G261">
        <v>1751</v>
      </c>
      <c r="H261" t="s">
        <v>48</v>
      </c>
      <c r="I261" t="s">
        <v>49</v>
      </c>
      <c r="J261" t="s">
        <v>44</v>
      </c>
      <c r="K261" t="s">
        <v>45</v>
      </c>
      <c r="L261">
        <v>1220</v>
      </c>
      <c r="M261" s="2">
        <v>1211</v>
      </c>
      <c r="N261">
        <v>-9</v>
      </c>
      <c r="O261" t="str">
        <f>IF(flights_sample_3m[[#This Row],[DEP_DELAY]]&lt;=15,"No delay",IF(flights_sample_3m[[#This Row],[DEP_DELAY]]&lt;=60,"Short Delay","Long Delay"))</f>
        <v>No delay</v>
      </c>
      <c r="P261" t="str">
        <f>IF(flights_sample_3m[[#This Row],[DEP_DELAY]]&lt;=15,"Delayed","On Time")</f>
        <v>Delayed</v>
      </c>
      <c r="Q261">
        <v>21</v>
      </c>
      <c r="R261">
        <v>1232</v>
      </c>
      <c r="S261">
        <v>1408</v>
      </c>
      <c r="T261">
        <v>9</v>
      </c>
      <c r="U261">
        <v>1445</v>
      </c>
      <c r="V261" s="2">
        <v>1417</v>
      </c>
      <c r="W261">
        <v>-28</v>
      </c>
      <c r="X261">
        <v>0</v>
      </c>
      <c r="Y261">
        <v>0</v>
      </c>
      <c r="Z261">
        <v>0</v>
      </c>
      <c r="AA261">
        <v>145</v>
      </c>
      <c r="AB261">
        <v>126</v>
      </c>
      <c r="AC261">
        <v>96</v>
      </c>
      <c r="AD261">
        <v>679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">
      <c r="A262" s="1">
        <v>43801</v>
      </c>
      <c r="B262" s="1" t="str">
        <f>TEXT(flights_sample_3m[[#This Row],[FL_DATE]],"yyyy-mm")</f>
        <v>2019-12</v>
      </c>
      <c r="C262" t="s">
        <v>148</v>
      </c>
      <c r="D262" t="s">
        <v>149</v>
      </c>
      <c r="E262" t="s">
        <v>150</v>
      </c>
      <c r="F262">
        <v>20304</v>
      </c>
      <c r="G262">
        <v>5667</v>
      </c>
      <c r="H262" t="s">
        <v>211</v>
      </c>
      <c r="I262" t="s">
        <v>212</v>
      </c>
      <c r="J262" t="s">
        <v>48</v>
      </c>
      <c r="K262" t="s">
        <v>49</v>
      </c>
      <c r="L262">
        <v>648</v>
      </c>
      <c r="M262" s="2">
        <v>0</v>
      </c>
      <c r="N262">
        <v>0</v>
      </c>
      <c r="O262" t="str">
        <f>IF(flights_sample_3m[[#This Row],[DEP_DELAY]]&lt;=15,"No delay",IF(flights_sample_3m[[#This Row],[DEP_DELAY]]&lt;=60,"Short Delay","Long Delay"))</f>
        <v>No delay</v>
      </c>
      <c r="P262" t="str">
        <f>IF(flights_sample_3m[[#This Row],[DEP_DELAY]]&lt;=15,"Delayed","On Time")</f>
        <v>Delayed</v>
      </c>
      <c r="Q262">
        <v>0</v>
      </c>
      <c r="R262">
        <v>0</v>
      </c>
      <c r="S262">
        <v>0</v>
      </c>
      <c r="T262">
        <v>0</v>
      </c>
      <c r="U262">
        <v>800</v>
      </c>
      <c r="V262" s="2">
        <v>0</v>
      </c>
      <c r="W262">
        <v>0</v>
      </c>
      <c r="X262">
        <v>1</v>
      </c>
      <c r="Y262" t="s">
        <v>174</v>
      </c>
      <c r="Z262">
        <v>0</v>
      </c>
      <c r="AA262">
        <v>72</v>
      </c>
      <c r="AB262">
        <v>0</v>
      </c>
      <c r="AC262">
        <v>0</v>
      </c>
      <c r="AD262">
        <v>190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">
      <c r="A263" s="1">
        <v>44360</v>
      </c>
      <c r="B263" s="1" t="str">
        <f>TEXT(flights_sample_3m[[#This Row],[FL_DATE]],"yyyy-mm")</f>
        <v>2021-06</v>
      </c>
      <c r="C263" t="s">
        <v>80</v>
      </c>
      <c r="D263" t="s">
        <v>81</v>
      </c>
      <c r="E263" t="s">
        <v>82</v>
      </c>
      <c r="F263">
        <v>19930</v>
      </c>
      <c r="G263">
        <v>654</v>
      </c>
      <c r="H263" t="s">
        <v>44</v>
      </c>
      <c r="I263" t="s">
        <v>45</v>
      </c>
      <c r="J263" t="s">
        <v>178</v>
      </c>
      <c r="K263" t="s">
        <v>179</v>
      </c>
      <c r="L263">
        <v>1755</v>
      </c>
      <c r="M263" s="2">
        <v>1754</v>
      </c>
      <c r="N263">
        <v>-1</v>
      </c>
      <c r="O263" t="str">
        <f>IF(flights_sample_3m[[#This Row],[DEP_DELAY]]&lt;=15,"No delay",IF(flights_sample_3m[[#This Row],[DEP_DELAY]]&lt;=60,"Short Delay","Long Delay"))</f>
        <v>No delay</v>
      </c>
      <c r="P263" t="str">
        <f>IF(flights_sample_3m[[#This Row],[DEP_DELAY]]&lt;=15,"Delayed","On Time")</f>
        <v>Delayed</v>
      </c>
      <c r="Q263">
        <v>15</v>
      </c>
      <c r="R263">
        <v>1809</v>
      </c>
      <c r="S263">
        <v>1941</v>
      </c>
      <c r="T263">
        <v>4</v>
      </c>
      <c r="U263">
        <v>1946</v>
      </c>
      <c r="V263" s="2">
        <v>1945</v>
      </c>
      <c r="W263">
        <v>-1</v>
      </c>
      <c r="X263">
        <v>0</v>
      </c>
      <c r="Y263">
        <v>0</v>
      </c>
      <c r="Z263">
        <v>0</v>
      </c>
      <c r="AA263">
        <v>111</v>
      </c>
      <c r="AB263">
        <v>111</v>
      </c>
      <c r="AC263">
        <v>92</v>
      </c>
      <c r="AD263">
        <v>605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">
      <c r="A264" s="1">
        <v>44160</v>
      </c>
      <c r="B264" s="1" t="str">
        <f>TEXT(flights_sample_3m[[#This Row],[FL_DATE]],"yyyy-mm")</f>
        <v>2020-11</v>
      </c>
      <c r="C264" t="s">
        <v>57</v>
      </c>
      <c r="D264" t="s">
        <v>58</v>
      </c>
      <c r="E264" t="s">
        <v>59</v>
      </c>
      <c r="F264">
        <v>19393</v>
      </c>
      <c r="G264">
        <v>5060</v>
      </c>
      <c r="H264" t="s">
        <v>98</v>
      </c>
      <c r="I264" t="s">
        <v>99</v>
      </c>
      <c r="J264" t="s">
        <v>333</v>
      </c>
      <c r="K264" t="s">
        <v>334</v>
      </c>
      <c r="L264">
        <v>905</v>
      </c>
      <c r="M264" s="2">
        <v>900</v>
      </c>
      <c r="N264">
        <v>-5</v>
      </c>
      <c r="O264" t="str">
        <f>IF(flights_sample_3m[[#This Row],[DEP_DELAY]]&lt;=15,"No delay",IF(flights_sample_3m[[#This Row],[DEP_DELAY]]&lt;=60,"Short Delay","Long Delay"))</f>
        <v>No delay</v>
      </c>
      <c r="P264" t="str">
        <f>IF(flights_sample_3m[[#This Row],[DEP_DELAY]]&lt;=15,"Delayed","On Time")</f>
        <v>Delayed</v>
      </c>
      <c r="Q264">
        <v>15</v>
      </c>
      <c r="R264">
        <v>915</v>
      </c>
      <c r="S264">
        <v>1036</v>
      </c>
      <c r="T264">
        <v>4</v>
      </c>
      <c r="U264">
        <v>1045</v>
      </c>
      <c r="V264" s="2">
        <v>1040</v>
      </c>
      <c r="W264">
        <v>-5</v>
      </c>
      <c r="X264">
        <v>0</v>
      </c>
      <c r="Y264">
        <v>0</v>
      </c>
      <c r="Z264">
        <v>0</v>
      </c>
      <c r="AA264">
        <v>100</v>
      </c>
      <c r="AB264">
        <v>100</v>
      </c>
      <c r="AC264">
        <v>81</v>
      </c>
      <c r="AD264">
        <v>430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">
      <c r="A265" s="1">
        <v>44348</v>
      </c>
      <c r="B265" s="1" t="str">
        <f>TEXT(flights_sample_3m[[#This Row],[FL_DATE]],"yyyy-mm")</f>
        <v>2021-06</v>
      </c>
      <c r="C265" t="s">
        <v>57</v>
      </c>
      <c r="D265" t="s">
        <v>58</v>
      </c>
      <c r="E265" t="s">
        <v>59</v>
      </c>
      <c r="F265">
        <v>19393</v>
      </c>
      <c r="G265">
        <v>2041</v>
      </c>
      <c r="H265" t="s">
        <v>177</v>
      </c>
      <c r="I265" t="s">
        <v>111</v>
      </c>
      <c r="J265" t="s">
        <v>93</v>
      </c>
      <c r="K265" t="s">
        <v>94</v>
      </c>
      <c r="L265">
        <v>1620</v>
      </c>
      <c r="M265" s="2">
        <v>1618</v>
      </c>
      <c r="N265">
        <v>-2</v>
      </c>
      <c r="O265" t="str">
        <f>IF(flights_sample_3m[[#This Row],[DEP_DELAY]]&lt;=15,"No delay",IF(flights_sample_3m[[#This Row],[DEP_DELAY]]&lt;=60,"Short Delay","Long Delay"))</f>
        <v>No delay</v>
      </c>
      <c r="P265" t="str">
        <f>IF(flights_sample_3m[[#This Row],[DEP_DELAY]]&lt;=15,"Delayed","On Time")</f>
        <v>Delayed</v>
      </c>
      <c r="Q265">
        <v>11</v>
      </c>
      <c r="R265">
        <v>1629</v>
      </c>
      <c r="S265">
        <v>1724</v>
      </c>
      <c r="T265">
        <v>5</v>
      </c>
      <c r="U265">
        <v>1800</v>
      </c>
      <c r="V265" s="2">
        <v>1729</v>
      </c>
      <c r="W265">
        <v>-31</v>
      </c>
      <c r="X265">
        <v>0</v>
      </c>
      <c r="Y265">
        <v>0</v>
      </c>
      <c r="Z265">
        <v>0</v>
      </c>
      <c r="AA265">
        <v>160</v>
      </c>
      <c r="AB265">
        <v>131</v>
      </c>
      <c r="AC265">
        <v>115</v>
      </c>
      <c r="AD265">
        <v>764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">
      <c r="A266" s="1">
        <v>43724</v>
      </c>
      <c r="B266" s="1" t="str">
        <f>TEXT(flights_sample_3m[[#This Row],[FL_DATE]],"yyyy-mm")</f>
        <v>2019-09</v>
      </c>
      <c r="C266" t="s">
        <v>57</v>
      </c>
      <c r="D266" t="s">
        <v>58</v>
      </c>
      <c r="E266" t="s">
        <v>59</v>
      </c>
      <c r="F266">
        <v>19393</v>
      </c>
      <c r="G266">
        <v>1675</v>
      </c>
      <c r="H266" t="s">
        <v>203</v>
      </c>
      <c r="I266" t="s">
        <v>204</v>
      </c>
      <c r="J266" t="s">
        <v>129</v>
      </c>
      <c r="K266" t="s">
        <v>130</v>
      </c>
      <c r="L266">
        <v>720</v>
      </c>
      <c r="M266" s="2">
        <v>725</v>
      </c>
      <c r="N266">
        <v>5</v>
      </c>
      <c r="O266" t="str">
        <f>IF(flights_sample_3m[[#This Row],[DEP_DELAY]]&lt;=15,"No delay",IF(flights_sample_3m[[#This Row],[DEP_DELAY]]&lt;=60,"Short Delay","Long Delay"))</f>
        <v>No delay</v>
      </c>
      <c r="P266" t="str">
        <f>IF(flights_sample_3m[[#This Row],[DEP_DELAY]]&lt;=15,"Delayed","On Time")</f>
        <v>Delayed</v>
      </c>
      <c r="Q266">
        <v>11</v>
      </c>
      <c r="R266">
        <v>736</v>
      </c>
      <c r="S266">
        <v>758</v>
      </c>
      <c r="T266">
        <v>3</v>
      </c>
      <c r="U266">
        <v>805</v>
      </c>
      <c r="V266" s="2">
        <v>801</v>
      </c>
      <c r="W266">
        <v>-4</v>
      </c>
      <c r="X266">
        <v>0</v>
      </c>
      <c r="Y266">
        <v>0</v>
      </c>
      <c r="Z266">
        <v>0</v>
      </c>
      <c r="AA266">
        <v>105</v>
      </c>
      <c r="AB266">
        <v>96</v>
      </c>
      <c r="AC266">
        <v>82</v>
      </c>
      <c r="AD266">
        <v>583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 s="1">
        <v>44500</v>
      </c>
      <c r="B267" s="1" t="str">
        <f>TEXT(flights_sample_3m[[#This Row],[FL_DATE]],"yyyy-mm")</f>
        <v>2021-10</v>
      </c>
      <c r="C267" t="s">
        <v>148</v>
      </c>
      <c r="D267" t="s">
        <v>149</v>
      </c>
      <c r="E267" t="s">
        <v>150</v>
      </c>
      <c r="F267">
        <v>20304</v>
      </c>
      <c r="G267">
        <v>5355</v>
      </c>
      <c r="H267" t="s">
        <v>55</v>
      </c>
      <c r="I267" t="s">
        <v>56</v>
      </c>
      <c r="J267" t="s">
        <v>46</v>
      </c>
      <c r="K267" t="s">
        <v>47</v>
      </c>
      <c r="L267">
        <v>1130</v>
      </c>
      <c r="M267" s="2">
        <v>1130</v>
      </c>
      <c r="N267">
        <v>0</v>
      </c>
      <c r="O267" t="str">
        <f>IF(flights_sample_3m[[#This Row],[DEP_DELAY]]&lt;=15,"No delay",IF(flights_sample_3m[[#This Row],[DEP_DELAY]]&lt;=60,"Short Delay","Long Delay"))</f>
        <v>No delay</v>
      </c>
      <c r="P267" t="str">
        <f>IF(flights_sample_3m[[#This Row],[DEP_DELAY]]&lt;=15,"Delayed","On Time")</f>
        <v>Delayed</v>
      </c>
      <c r="Q267">
        <v>21</v>
      </c>
      <c r="R267">
        <v>1151</v>
      </c>
      <c r="S267">
        <v>1234</v>
      </c>
      <c r="T267">
        <v>9</v>
      </c>
      <c r="U267">
        <v>1244</v>
      </c>
      <c r="V267" s="2">
        <v>1243</v>
      </c>
      <c r="W267">
        <v>-1</v>
      </c>
      <c r="X267">
        <v>0</v>
      </c>
      <c r="Y267">
        <v>0</v>
      </c>
      <c r="Z267">
        <v>0</v>
      </c>
      <c r="AA267">
        <v>134</v>
      </c>
      <c r="AB267">
        <v>133</v>
      </c>
      <c r="AC267">
        <v>103</v>
      </c>
      <c r="AD267">
        <v>641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 s="1">
        <v>43735</v>
      </c>
      <c r="B268" s="1" t="str">
        <f>TEXT(flights_sample_3m[[#This Row],[FL_DATE]],"yyyy-mm")</f>
        <v>2019-09</v>
      </c>
      <c r="C268" t="s">
        <v>64</v>
      </c>
      <c r="D268" t="s">
        <v>65</v>
      </c>
      <c r="E268" t="s">
        <v>66</v>
      </c>
      <c r="F268">
        <v>19805</v>
      </c>
      <c r="G268">
        <v>285</v>
      </c>
      <c r="H268" t="s">
        <v>78</v>
      </c>
      <c r="I268" t="s">
        <v>79</v>
      </c>
      <c r="J268" t="s">
        <v>335</v>
      </c>
      <c r="K268" t="s">
        <v>336</v>
      </c>
      <c r="L268">
        <v>1735</v>
      </c>
      <c r="M268" s="2">
        <v>1903</v>
      </c>
      <c r="N268">
        <v>88</v>
      </c>
      <c r="O268" t="str">
        <f>IF(flights_sample_3m[[#This Row],[DEP_DELAY]]&lt;=15,"No delay",IF(flights_sample_3m[[#This Row],[DEP_DELAY]]&lt;=60,"Short Delay","Long Delay"))</f>
        <v>Long Delay</v>
      </c>
      <c r="P268" t="str">
        <f>IF(flights_sample_3m[[#This Row],[DEP_DELAY]]&lt;=15,"Delayed","On Time")</f>
        <v>On Time</v>
      </c>
      <c r="Q268">
        <v>14</v>
      </c>
      <c r="R268">
        <v>1917</v>
      </c>
      <c r="S268">
        <v>2126</v>
      </c>
      <c r="T268">
        <v>5</v>
      </c>
      <c r="U268">
        <v>2024</v>
      </c>
      <c r="V268" s="2">
        <v>2131</v>
      </c>
      <c r="W268">
        <v>67</v>
      </c>
      <c r="X268">
        <v>0</v>
      </c>
      <c r="Y268">
        <v>0</v>
      </c>
      <c r="Z268">
        <v>0</v>
      </c>
      <c r="AA268">
        <v>349</v>
      </c>
      <c r="AB268">
        <v>328</v>
      </c>
      <c r="AC268">
        <v>309</v>
      </c>
      <c r="AD268">
        <v>2615</v>
      </c>
      <c r="AE268">
        <v>0</v>
      </c>
      <c r="AF268">
        <v>0</v>
      </c>
      <c r="AG268">
        <v>0</v>
      </c>
      <c r="AH268">
        <v>0</v>
      </c>
      <c r="AI268">
        <v>67</v>
      </c>
    </row>
    <row r="269" spans="1:35" x14ac:dyDescent="0.3">
      <c r="A269" s="1">
        <v>44695</v>
      </c>
      <c r="B269" s="1" t="str">
        <f>TEXT(flights_sample_3m[[#This Row],[FL_DATE]],"yyyy-mm")</f>
        <v>2022-05</v>
      </c>
      <c r="C269" t="s">
        <v>50</v>
      </c>
      <c r="D269" t="s">
        <v>51</v>
      </c>
      <c r="E269" t="s">
        <v>52</v>
      </c>
      <c r="F269">
        <v>20416</v>
      </c>
      <c r="G269">
        <v>3830</v>
      </c>
      <c r="H269" t="s">
        <v>159</v>
      </c>
      <c r="I269" t="s">
        <v>160</v>
      </c>
      <c r="J269" t="s">
        <v>98</v>
      </c>
      <c r="K269" t="s">
        <v>99</v>
      </c>
      <c r="L269">
        <v>1940</v>
      </c>
      <c r="M269" s="2">
        <v>1937</v>
      </c>
      <c r="N269">
        <v>-3</v>
      </c>
      <c r="O269" t="str">
        <f>IF(flights_sample_3m[[#This Row],[DEP_DELAY]]&lt;=15,"No delay",IF(flights_sample_3m[[#This Row],[DEP_DELAY]]&lt;=60,"Short Delay","Long Delay"))</f>
        <v>No delay</v>
      </c>
      <c r="P269" t="str">
        <f>IF(flights_sample_3m[[#This Row],[DEP_DELAY]]&lt;=15,"Delayed","On Time")</f>
        <v>Delayed</v>
      </c>
      <c r="Q269">
        <v>11</v>
      </c>
      <c r="R269">
        <v>1948</v>
      </c>
      <c r="S269">
        <v>2140</v>
      </c>
      <c r="T269">
        <v>6</v>
      </c>
      <c r="U269">
        <v>2205</v>
      </c>
      <c r="V269" s="2">
        <v>2146</v>
      </c>
      <c r="W269">
        <v>-19</v>
      </c>
      <c r="X269">
        <v>0</v>
      </c>
      <c r="Y269">
        <v>0</v>
      </c>
      <c r="Z269">
        <v>0</v>
      </c>
      <c r="AA269">
        <v>145</v>
      </c>
      <c r="AB269">
        <v>129</v>
      </c>
      <c r="AC269">
        <v>112</v>
      </c>
      <c r="AD269">
        <v>842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">
      <c r="A270" s="1">
        <v>43626</v>
      </c>
      <c r="B270" s="1" t="str">
        <f>TEXT(flights_sample_3m[[#This Row],[FL_DATE]],"yyyy-mm")</f>
        <v>2019-06</v>
      </c>
      <c r="C270" t="s">
        <v>148</v>
      </c>
      <c r="D270" t="s">
        <v>149</v>
      </c>
      <c r="E270" t="s">
        <v>150</v>
      </c>
      <c r="F270">
        <v>20304</v>
      </c>
      <c r="G270">
        <v>5491</v>
      </c>
      <c r="H270" t="s">
        <v>178</v>
      </c>
      <c r="I270" t="s">
        <v>179</v>
      </c>
      <c r="J270" t="s">
        <v>48</v>
      </c>
      <c r="K270" t="s">
        <v>49</v>
      </c>
      <c r="L270">
        <v>820</v>
      </c>
      <c r="M270" s="2">
        <v>814</v>
      </c>
      <c r="N270">
        <v>-6</v>
      </c>
      <c r="O270" t="str">
        <f>IF(flights_sample_3m[[#This Row],[DEP_DELAY]]&lt;=15,"No delay",IF(flights_sample_3m[[#This Row],[DEP_DELAY]]&lt;=60,"Short Delay","Long Delay"))</f>
        <v>No delay</v>
      </c>
      <c r="P270" t="str">
        <f>IF(flights_sample_3m[[#This Row],[DEP_DELAY]]&lt;=15,"Delayed","On Time")</f>
        <v>Delayed</v>
      </c>
      <c r="Q270">
        <v>15</v>
      </c>
      <c r="R270">
        <v>829</v>
      </c>
      <c r="S270">
        <v>858</v>
      </c>
      <c r="T270">
        <v>34</v>
      </c>
      <c r="U270">
        <v>933</v>
      </c>
      <c r="V270" s="2">
        <v>932</v>
      </c>
      <c r="W270">
        <v>-1</v>
      </c>
      <c r="X270">
        <v>0</v>
      </c>
      <c r="Y270">
        <v>0</v>
      </c>
      <c r="Z270">
        <v>0</v>
      </c>
      <c r="AA270">
        <v>73</v>
      </c>
      <c r="AB270">
        <v>78</v>
      </c>
      <c r="AC270">
        <v>29</v>
      </c>
      <c r="AD270">
        <v>86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">
      <c r="A271" s="1">
        <v>44350</v>
      </c>
      <c r="B271" s="1" t="str">
        <f>TEXT(flights_sample_3m[[#This Row],[FL_DATE]],"yyyy-mm")</f>
        <v>2021-06</v>
      </c>
      <c r="C271" t="s">
        <v>148</v>
      </c>
      <c r="D271" t="s">
        <v>149</v>
      </c>
      <c r="E271" t="s">
        <v>150</v>
      </c>
      <c r="F271">
        <v>20304</v>
      </c>
      <c r="G271">
        <v>5141</v>
      </c>
      <c r="H271" t="s">
        <v>46</v>
      </c>
      <c r="I271" t="s">
        <v>47</v>
      </c>
      <c r="J271" t="s">
        <v>337</v>
      </c>
      <c r="K271" t="s">
        <v>338</v>
      </c>
      <c r="L271">
        <v>1612</v>
      </c>
      <c r="M271" s="2">
        <v>1756</v>
      </c>
      <c r="N271">
        <v>104</v>
      </c>
      <c r="O271" t="str">
        <f>IF(flights_sample_3m[[#This Row],[DEP_DELAY]]&lt;=15,"No delay",IF(flights_sample_3m[[#This Row],[DEP_DELAY]]&lt;=60,"Short Delay","Long Delay"))</f>
        <v>Long Delay</v>
      </c>
      <c r="P271" t="str">
        <f>IF(flights_sample_3m[[#This Row],[DEP_DELAY]]&lt;=15,"Delayed","On Time")</f>
        <v>On Time</v>
      </c>
      <c r="Q271">
        <v>23</v>
      </c>
      <c r="R271">
        <v>1819</v>
      </c>
      <c r="S271">
        <v>1934</v>
      </c>
      <c r="T271">
        <v>4</v>
      </c>
      <c r="U271">
        <v>1748</v>
      </c>
      <c r="V271" s="2">
        <v>1938</v>
      </c>
      <c r="W271">
        <v>110</v>
      </c>
      <c r="X271">
        <v>0</v>
      </c>
      <c r="Y271">
        <v>0</v>
      </c>
      <c r="Z271">
        <v>0</v>
      </c>
      <c r="AA271">
        <v>96</v>
      </c>
      <c r="AB271">
        <v>102</v>
      </c>
      <c r="AC271">
        <v>75</v>
      </c>
      <c r="AD271">
        <v>517</v>
      </c>
      <c r="AE271">
        <v>110</v>
      </c>
      <c r="AF271">
        <v>0</v>
      </c>
      <c r="AG271">
        <v>0</v>
      </c>
      <c r="AH271">
        <v>0</v>
      </c>
      <c r="AI271">
        <v>0</v>
      </c>
    </row>
    <row r="272" spans="1:35" x14ac:dyDescent="0.3">
      <c r="A272" s="1">
        <v>44067</v>
      </c>
      <c r="B272" s="1" t="str">
        <f>TEXT(flights_sample_3m[[#This Row],[FL_DATE]],"yyyy-mm")</f>
        <v>2020-08</v>
      </c>
      <c r="C272" t="s">
        <v>57</v>
      </c>
      <c r="D272" t="s">
        <v>58</v>
      </c>
      <c r="E272" t="s">
        <v>59</v>
      </c>
      <c r="F272">
        <v>19393</v>
      </c>
      <c r="G272">
        <v>933</v>
      </c>
      <c r="H272" t="s">
        <v>129</v>
      </c>
      <c r="I272" t="s">
        <v>130</v>
      </c>
      <c r="J272" t="s">
        <v>60</v>
      </c>
      <c r="K272" t="s">
        <v>61</v>
      </c>
      <c r="L272">
        <v>605</v>
      </c>
      <c r="M272" s="2">
        <v>601</v>
      </c>
      <c r="N272">
        <v>-4</v>
      </c>
      <c r="O272" t="str">
        <f>IF(flights_sample_3m[[#This Row],[DEP_DELAY]]&lt;=15,"No delay",IF(flights_sample_3m[[#This Row],[DEP_DELAY]]&lt;=60,"Short Delay","Long Delay"))</f>
        <v>No delay</v>
      </c>
      <c r="P272" t="str">
        <f>IF(flights_sample_3m[[#This Row],[DEP_DELAY]]&lt;=15,"Delayed","On Time")</f>
        <v>Delayed</v>
      </c>
      <c r="Q272">
        <v>13</v>
      </c>
      <c r="R272">
        <v>614</v>
      </c>
      <c r="S272">
        <v>1036</v>
      </c>
      <c r="T272">
        <v>2</v>
      </c>
      <c r="U272">
        <v>1040</v>
      </c>
      <c r="V272" s="2">
        <v>1038</v>
      </c>
      <c r="W272">
        <v>-2</v>
      </c>
      <c r="X272">
        <v>0</v>
      </c>
      <c r="Y272">
        <v>0</v>
      </c>
      <c r="Z272">
        <v>0</v>
      </c>
      <c r="AA272">
        <v>155</v>
      </c>
      <c r="AB272">
        <v>157</v>
      </c>
      <c r="AC272">
        <v>142</v>
      </c>
      <c r="AD272">
        <v>1067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">
      <c r="A273" s="1">
        <v>45004</v>
      </c>
      <c r="B273" s="1" t="str">
        <f>TEXT(flights_sample_3m[[#This Row],[FL_DATE]],"yyyy-mm")</f>
        <v>2023-03</v>
      </c>
      <c r="C273" t="s">
        <v>57</v>
      </c>
      <c r="D273" t="s">
        <v>58</v>
      </c>
      <c r="E273" t="s">
        <v>59</v>
      </c>
      <c r="F273">
        <v>19393</v>
      </c>
      <c r="G273">
        <v>199</v>
      </c>
      <c r="H273" t="s">
        <v>217</v>
      </c>
      <c r="I273" t="s">
        <v>218</v>
      </c>
      <c r="J273" t="s">
        <v>98</v>
      </c>
      <c r="K273" t="s">
        <v>99</v>
      </c>
      <c r="L273">
        <v>1225</v>
      </c>
      <c r="M273" s="2">
        <v>1224</v>
      </c>
      <c r="N273">
        <v>-1</v>
      </c>
      <c r="O273" t="str">
        <f>IF(flights_sample_3m[[#This Row],[DEP_DELAY]]&lt;=15,"No delay",IF(flights_sample_3m[[#This Row],[DEP_DELAY]]&lt;=60,"Short Delay","Long Delay"))</f>
        <v>No delay</v>
      </c>
      <c r="P273" t="str">
        <f>IF(flights_sample_3m[[#This Row],[DEP_DELAY]]&lt;=15,"Delayed","On Time")</f>
        <v>Delayed</v>
      </c>
      <c r="Q273">
        <v>6</v>
      </c>
      <c r="R273">
        <v>1230</v>
      </c>
      <c r="S273">
        <v>1330</v>
      </c>
      <c r="T273">
        <v>6</v>
      </c>
      <c r="U273">
        <v>1350</v>
      </c>
      <c r="V273" s="2">
        <v>1336</v>
      </c>
      <c r="W273">
        <v>-14</v>
      </c>
      <c r="X273">
        <v>0</v>
      </c>
      <c r="Y273">
        <v>0</v>
      </c>
      <c r="Z273">
        <v>0</v>
      </c>
      <c r="AA273">
        <v>85</v>
      </c>
      <c r="AB273">
        <v>72</v>
      </c>
      <c r="AC273">
        <v>60</v>
      </c>
      <c r="AD273">
        <v>426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">
      <c r="A274" s="1">
        <v>44055</v>
      </c>
      <c r="B274" s="1" t="str">
        <f>TEXT(flights_sample_3m[[#This Row],[FL_DATE]],"yyyy-mm")</f>
        <v>2020-08</v>
      </c>
      <c r="C274" t="s">
        <v>32</v>
      </c>
      <c r="D274" t="s">
        <v>33</v>
      </c>
      <c r="E274" t="s">
        <v>34</v>
      </c>
      <c r="F274">
        <v>19977</v>
      </c>
      <c r="G274">
        <v>461</v>
      </c>
      <c r="H274" t="s">
        <v>46</v>
      </c>
      <c r="I274" t="s">
        <v>47</v>
      </c>
      <c r="J274" t="s">
        <v>125</v>
      </c>
      <c r="K274" t="s">
        <v>68</v>
      </c>
      <c r="L274">
        <v>1415</v>
      </c>
      <c r="M274" s="2">
        <v>1406</v>
      </c>
      <c r="N274">
        <v>-9</v>
      </c>
      <c r="O274" t="str">
        <f>IF(flights_sample_3m[[#This Row],[DEP_DELAY]]&lt;=15,"No delay",IF(flights_sample_3m[[#This Row],[DEP_DELAY]]&lt;=60,"Short Delay","Long Delay"))</f>
        <v>No delay</v>
      </c>
      <c r="P274" t="str">
        <f>IF(flights_sample_3m[[#This Row],[DEP_DELAY]]&lt;=15,"Delayed","On Time")</f>
        <v>Delayed</v>
      </c>
      <c r="Q274">
        <v>19</v>
      </c>
      <c r="R274">
        <v>1425</v>
      </c>
      <c r="S274">
        <v>1922</v>
      </c>
      <c r="T274">
        <v>28</v>
      </c>
      <c r="U274">
        <v>1933</v>
      </c>
      <c r="V274" s="2">
        <v>1950</v>
      </c>
      <c r="W274">
        <v>17</v>
      </c>
      <c r="X274">
        <v>0</v>
      </c>
      <c r="Y274">
        <v>0</v>
      </c>
      <c r="Z274">
        <v>0</v>
      </c>
      <c r="AA274">
        <v>198</v>
      </c>
      <c r="AB274">
        <v>224</v>
      </c>
      <c r="AC274">
        <v>177</v>
      </c>
      <c r="AD274">
        <v>1452</v>
      </c>
      <c r="AE274">
        <v>0</v>
      </c>
      <c r="AF274">
        <v>0</v>
      </c>
      <c r="AG274">
        <v>17</v>
      </c>
      <c r="AH274">
        <v>0</v>
      </c>
      <c r="AI274">
        <v>0</v>
      </c>
    </row>
    <row r="275" spans="1:35" x14ac:dyDescent="0.3">
      <c r="A275" s="1">
        <v>44790</v>
      </c>
      <c r="B275" s="1" t="str">
        <f>TEXT(flights_sample_3m[[#This Row],[FL_DATE]],"yyyy-mm")</f>
        <v>2022-08</v>
      </c>
      <c r="C275" t="s">
        <v>64</v>
      </c>
      <c r="D275" t="s">
        <v>65</v>
      </c>
      <c r="E275" t="s">
        <v>66</v>
      </c>
      <c r="F275">
        <v>19805</v>
      </c>
      <c r="G275">
        <v>864</v>
      </c>
      <c r="H275" t="s">
        <v>205</v>
      </c>
      <c r="I275" t="s">
        <v>206</v>
      </c>
      <c r="J275" t="s">
        <v>123</v>
      </c>
      <c r="K275" t="s">
        <v>124</v>
      </c>
      <c r="L275">
        <v>2030</v>
      </c>
      <c r="M275" s="2">
        <v>2029</v>
      </c>
      <c r="N275">
        <v>-1</v>
      </c>
      <c r="O275" t="str">
        <f>IF(flights_sample_3m[[#This Row],[DEP_DELAY]]&lt;=15,"No delay",IF(flights_sample_3m[[#This Row],[DEP_DELAY]]&lt;=60,"Short Delay","Long Delay"))</f>
        <v>No delay</v>
      </c>
      <c r="P275" t="str">
        <f>IF(flights_sample_3m[[#This Row],[DEP_DELAY]]&lt;=15,"Delayed","On Time")</f>
        <v>Delayed</v>
      </c>
      <c r="Q275">
        <v>21</v>
      </c>
      <c r="R275">
        <v>2050</v>
      </c>
      <c r="S275">
        <v>2203</v>
      </c>
      <c r="T275">
        <v>6</v>
      </c>
      <c r="U275">
        <v>2216</v>
      </c>
      <c r="V275" s="2">
        <v>2209</v>
      </c>
      <c r="W275">
        <v>-7</v>
      </c>
      <c r="X275">
        <v>0</v>
      </c>
      <c r="Y275">
        <v>0</v>
      </c>
      <c r="Z275">
        <v>0</v>
      </c>
      <c r="AA275">
        <v>106</v>
      </c>
      <c r="AB275">
        <v>100</v>
      </c>
      <c r="AC275">
        <v>73</v>
      </c>
      <c r="AD275">
        <v>449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">
      <c r="A276" s="1">
        <v>43511</v>
      </c>
      <c r="B276" s="1" t="str">
        <f>TEXT(flights_sample_3m[[#This Row],[FL_DATE]],"yyyy-mm")</f>
        <v>2019-02</v>
      </c>
      <c r="C276" t="s">
        <v>167</v>
      </c>
      <c r="D276" t="s">
        <v>168</v>
      </c>
      <c r="E276" t="s">
        <v>169</v>
      </c>
      <c r="F276">
        <v>20363</v>
      </c>
      <c r="G276">
        <v>5406</v>
      </c>
      <c r="H276" t="s">
        <v>87</v>
      </c>
      <c r="I276" t="s">
        <v>88</v>
      </c>
      <c r="J276" t="s">
        <v>89</v>
      </c>
      <c r="K276" t="s">
        <v>90</v>
      </c>
      <c r="L276">
        <v>620</v>
      </c>
      <c r="M276" s="2">
        <v>633</v>
      </c>
      <c r="N276">
        <v>13</v>
      </c>
      <c r="O276" t="str">
        <f>IF(flights_sample_3m[[#This Row],[DEP_DELAY]]&lt;=15,"No delay",IF(flights_sample_3m[[#This Row],[DEP_DELAY]]&lt;=60,"Short Delay","Long Delay"))</f>
        <v>No delay</v>
      </c>
      <c r="P276" t="str">
        <f>IF(flights_sample_3m[[#This Row],[DEP_DELAY]]&lt;=15,"Delayed","On Time")</f>
        <v>Delayed</v>
      </c>
      <c r="Q276">
        <v>11</v>
      </c>
      <c r="R276">
        <v>644</v>
      </c>
      <c r="S276">
        <v>810</v>
      </c>
      <c r="T276">
        <v>4</v>
      </c>
      <c r="U276">
        <v>828</v>
      </c>
      <c r="V276" s="2">
        <v>814</v>
      </c>
      <c r="W276">
        <v>-14</v>
      </c>
      <c r="X276">
        <v>0</v>
      </c>
      <c r="Y276">
        <v>0</v>
      </c>
      <c r="Z276">
        <v>0</v>
      </c>
      <c r="AA276">
        <v>128</v>
      </c>
      <c r="AB276">
        <v>101</v>
      </c>
      <c r="AC276">
        <v>86</v>
      </c>
      <c r="AD276">
        <v>532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">
      <c r="A277" s="1">
        <v>43604</v>
      </c>
      <c r="B277" s="1" t="str">
        <f>TEXT(flights_sample_3m[[#This Row],[FL_DATE]],"yyyy-mm")</f>
        <v>2019-05</v>
      </c>
      <c r="C277" t="s">
        <v>120</v>
      </c>
      <c r="D277" t="s">
        <v>121</v>
      </c>
      <c r="E277" t="s">
        <v>122</v>
      </c>
      <c r="F277">
        <v>20397</v>
      </c>
      <c r="G277">
        <v>5386</v>
      </c>
      <c r="H277" t="s">
        <v>339</v>
      </c>
      <c r="I277" t="s">
        <v>340</v>
      </c>
      <c r="J277" t="s">
        <v>123</v>
      </c>
      <c r="K277" t="s">
        <v>124</v>
      </c>
      <c r="L277">
        <v>615</v>
      </c>
      <c r="M277" s="2">
        <v>611</v>
      </c>
      <c r="N277">
        <v>-4</v>
      </c>
      <c r="O277" t="str">
        <f>IF(flights_sample_3m[[#This Row],[DEP_DELAY]]&lt;=15,"No delay",IF(flights_sample_3m[[#This Row],[DEP_DELAY]]&lt;=60,"Short Delay","Long Delay"))</f>
        <v>No delay</v>
      </c>
      <c r="P277" t="str">
        <f>IF(flights_sample_3m[[#This Row],[DEP_DELAY]]&lt;=15,"Delayed","On Time")</f>
        <v>Delayed</v>
      </c>
      <c r="Q277">
        <v>12</v>
      </c>
      <c r="R277">
        <v>623</v>
      </c>
      <c r="S277">
        <v>747</v>
      </c>
      <c r="T277">
        <v>9</v>
      </c>
      <c r="U277">
        <v>802</v>
      </c>
      <c r="V277" s="2">
        <v>756</v>
      </c>
      <c r="W277">
        <v>-6</v>
      </c>
      <c r="X277">
        <v>0</v>
      </c>
      <c r="Y277">
        <v>0</v>
      </c>
      <c r="Z277">
        <v>0</v>
      </c>
      <c r="AA277">
        <v>107</v>
      </c>
      <c r="AB277">
        <v>105</v>
      </c>
      <c r="AC277">
        <v>84</v>
      </c>
      <c r="AD277">
        <v>490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">
      <c r="A278" s="1">
        <v>44466</v>
      </c>
      <c r="B278" s="1" t="str">
        <f>TEXT(flights_sample_3m[[#This Row],[FL_DATE]],"yyyy-mm")</f>
        <v>2021-09</v>
      </c>
      <c r="C278" t="s">
        <v>57</v>
      </c>
      <c r="D278" t="s">
        <v>58</v>
      </c>
      <c r="E278" t="s">
        <v>59</v>
      </c>
      <c r="F278">
        <v>19393</v>
      </c>
      <c r="G278">
        <v>4439</v>
      </c>
      <c r="H278" t="s">
        <v>201</v>
      </c>
      <c r="I278" t="s">
        <v>202</v>
      </c>
      <c r="J278" t="s">
        <v>91</v>
      </c>
      <c r="K278" t="s">
        <v>92</v>
      </c>
      <c r="L278">
        <v>1715</v>
      </c>
      <c r="M278" s="2">
        <v>1714</v>
      </c>
      <c r="N278">
        <v>-1</v>
      </c>
      <c r="O278" t="str">
        <f>IF(flights_sample_3m[[#This Row],[DEP_DELAY]]&lt;=15,"No delay",IF(flights_sample_3m[[#This Row],[DEP_DELAY]]&lt;=60,"Short Delay","Long Delay"))</f>
        <v>No delay</v>
      </c>
      <c r="P278" t="str">
        <f>IF(flights_sample_3m[[#This Row],[DEP_DELAY]]&lt;=15,"Delayed","On Time")</f>
        <v>Delayed</v>
      </c>
      <c r="Q278">
        <v>8</v>
      </c>
      <c r="R278">
        <v>1722</v>
      </c>
      <c r="S278">
        <v>2221</v>
      </c>
      <c r="T278">
        <v>3</v>
      </c>
      <c r="U278">
        <v>2230</v>
      </c>
      <c r="V278" s="2">
        <v>2224</v>
      </c>
      <c r="W278">
        <v>-6</v>
      </c>
      <c r="X278">
        <v>0</v>
      </c>
      <c r="Y278">
        <v>0</v>
      </c>
      <c r="Z278">
        <v>0</v>
      </c>
      <c r="AA278">
        <v>195</v>
      </c>
      <c r="AB278">
        <v>190</v>
      </c>
      <c r="AC278">
        <v>179</v>
      </c>
      <c r="AD278">
        <v>1444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">
      <c r="A279" s="1">
        <v>44919</v>
      </c>
      <c r="B279" s="1" t="str">
        <f>TEXT(flights_sample_3m[[#This Row],[FL_DATE]],"yyyy-mm")</f>
        <v>2022-12</v>
      </c>
      <c r="C279" t="s">
        <v>39</v>
      </c>
      <c r="D279" t="s">
        <v>40</v>
      </c>
      <c r="E279" t="s">
        <v>41</v>
      </c>
      <c r="F279">
        <v>19790</v>
      </c>
      <c r="G279">
        <v>1033</v>
      </c>
      <c r="H279" t="s">
        <v>85</v>
      </c>
      <c r="I279" t="s">
        <v>86</v>
      </c>
      <c r="J279" t="s">
        <v>341</v>
      </c>
      <c r="K279" t="s">
        <v>342</v>
      </c>
      <c r="L279">
        <v>1515</v>
      </c>
      <c r="M279" s="2">
        <v>1512</v>
      </c>
      <c r="N279">
        <v>-3</v>
      </c>
      <c r="O279" t="str">
        <f>IF(flights_sample_3m[[#This Row],[DEP_DELAY]]&lt;=15,"No delay",IF(flights_sample_3m[[#This Row],[DEP_DELAY]]&lt;=60,"Short Delay","Long Delay"))</f>
        <v>No delay</v>
      </c>
      <c r="P279" t="str">
        <f>IF(flights_sample_3m[[#This Row],[DEP_DELAY]]&lt;=15,"Delayed","On Time")</f>
        <v>Delayed</v>
      </c>
      <c r="Q279">
        <v>11</v>
      </c>
      <c r="R279">
        <v>1523</v>
      </c>
      <c r="S279">
        <v>1601</v>
      </c>
      <c r="T279">
        <v>4</v>
      </c>
      <c r="U279">
        <v>1618</v>
      </c>
      <c r="V279" s="2">
        <v>1605</v>
      </c>
      <c r="W279">
        <v>-13</v>
      </c>
      <c r="X279">
        <v>0</v>
      </c>
      <c r="Y279">
        <v>0</v>
      </c>
      <c r="Z279">
        <v>0</v>
      </c>
      <c r="AA279">
        <v>63</v>
      </c>
      <c r="AB279">
        <v>53</v>
      </c>
      <c r="AC279">
        <v>38</v>
      </c>
      <c r="AD279">
        <v>223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">
      <c r="A280" s="1">
        <v>44182</v>
      </c>
      <c r="B280" s="1" t="str">
        <f>TEXT(flights_sample_3m[[#This Row],[FL_DATE]],"yyyy-mm")</f>
        <v>2020-12</v>
      </c>
      <c r="C280" t="s">
        <v>64</v>
      </c>
      <c r="D280" t="s">
        <v>65</v>
      </c>
      <c r="E280" t="s">
        <v>66</v>
      </c>
      <c r="F280">
        <v>19805</v>
      </c>
      <c r="G280">
        <v>1608</v>
      </c>
      <c r="H280" t="s">
        <v>55</v>
      </c>
      <c r="I280" t="s">
        <v>56</v>
      </c>
      <c r="J280" t="s">
        <v>177</v>
      </c>
      <c r="K280" t="s">
        <v>111</v>
      </c>
      <c r="L280">
        <v>1053</v>
      </c>
      <c r="M280" s="2">
        <v>1046</v>
      </c>
      <c r="N280">
        <v>-7</v>
      </c>
      <c r="O280" t="str">
        <f>IF(flights_sample_3m[[#This Row],[DEP_DELAY]]&lt;=15,"No delay",IF(flights_sample_3m[[#This Row],[DEP_DELAY]]&lt;=60,"Short Delay","Long Delay"))</f>
        <v>No delay</v>
      </c>
      <c r="P280" t="str">
        <f>IF(flights_sample_3m[[#This Row],[DEP_DELAY]]&lt;=15,"Delayed","On Time")</f>
        <v>Delayed</v>
      </c>
      <c r="Q280">
        <v>20</v>
      </c>
      <c r="R280">
        <v>1106</v>
      </c>
      <c r="S280">
        <v>1444</v>
      </c>
      <c r="T280">
        <v>9</v>
      </c>
      <c r="U280">
        <v>1515</v>
      </c>
      <c r="V280" s="2">
        <v>1453</v>
      </c>
      <c r="W280">
        <v>-22</v>
      </c>
      <c r="X280">
        <v>0</v>
      </c>
      <c r="Y280">
        <v>0</v>
      </c>
      <c r="Z280">
        <v>0</v>
      </c>
      <c r="AA280">
        <v>202</v>
      </c>
      <c r="AB280">
        <v>187</v>
      </c>
      <c r="AC280">
        <v>158</v>
      </c>
      <c r="AD280">
        <v>1389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">
      <c r="A281" s="1">
        <v>45071</v>
      </c>
      <c r="B281" s="1" t="str">
        <f>TEXT(flights_sample_3m[[#This Row],[FL_DATE]],"yyyy-mm")</f>
        <v>2023-05</v>
      </c>
      <c r="C281" t="s">
        <v>148</v>
      </c>
      <c r="D281" t="s">
        <v>149</v>
      </c>
      <c r="E281" t="s">
        <v>150</v>
      </c>
      <c r="F281">
        <v>20304</v>
      </c>
      <c r="G281">
        <v>4748</v>
      </c>
      <c r="H281" t="s">
        <v>343</v>
      </c>
      <c r="I281" t="s">
        <v>344</v>
      </c>
      <c r="J281" t="s">
        <v>106</v>
      </c>
      <c r="K281" t="s">
        <v>92</v>
      </c>
      <c r="L281">
        <v>600</v>
      </c>
      <c r="M281" s="2">
        <v>550</v>
      </c>
      <c r="N281">
        <v>-10</v>
      </c>
      <c r="O281" t="str">
        <f>IF(flights_sample_3m[[#This Row],[DEP_DELAY]]&lt;=15,"No delay",IF(flights_sample_3m[[#This Row],[DEP_DELAY]]&lt;=60,"Short Delay","Long Delay"))</f>
        <v>No delay</v>
      </c>
      <c r="P281" t="str">
        <f>IF(flights_sample_3m[[#This Row],[DEP_DELAY]]&lt;=15,"Delayed","On Time")</f>
        <v>Delayed</v>
      </c>
      <c r="Q281">
        <v>11</v>
      </c>
      <c r="R281">
        <v>601</v>
      </c>
      <c r="S281">
        <v>645</v>
      </c>
      <c r="T281">
        <v>16</v>
      </c>
      <c r="U281">
        <v>712</v>
      </c>
      <c r="V281" s="2">
        <v>701</v>
      </c>
      <c r="W281">
        <v>-11</v>
      </c>
      <c r="X281">
        <v>0</v>
      </c>
      <c r="Y281">
        <v>0</v>
      </c>
      <c r="Z281">
        <v>0</v>
      </c>
      <c r="AA281">
        <v>72</v>
      </c>
      <c r="AB281">
        <v>71</v>
      </c>
      <c r="AC281">
        <v>44</v>
      </c>
      <c r="AD281">
        <v>173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">
      <c r="A282" s="1">
        <v>44015</v>
      </c>
      <c r="B282" s="1" t="str">
        <f>TEXT(flights_sample_3m[[#This Row],[FL_DATE]],"yyyy-mm")</f>
        <v>2020-07</v>
      </c>
      <c r="C282" t="s">
        <v>64</v>
      </c>
      <c r="D282" t="s">
        <v>65</v>
      </c>
      <c r="E282" t="s">
        <v>66</v>
      </c>
      <c r="F282">
        <v>19805</v>
      </c>
      <c r="G282">
        <v>1853</v>
      </c>
      <c r="H282" t="s">
        <v>55</v>
      </c>
      <c r="I282" t="s">
        <v>56</v>
      </c>
      <c r="J282" t="s">
        <v>69</v>
      </c>
      <c r="K282" t="s">
        <v>70</v>
      </c>
      <c r="L282">
        <v>1030</v>
      </c>
      <c r="M282" s="2">
        <v>1026</v>
      </c>
      <c r="N282">
        <v>-4</v>
      </c>
      <c r="O282" t="str">
        <f>IF(flights_sample_3m[[#This Row],[DEP_DELAY]]&lt;=15,"No delay",IF(flights_sample_3m[[#This Row],[DEP_DELAY]]&lt;=60,"Short Delay","Long Delay"))</f>
        <v>No delay</v>
      </c>
      <c r="P282" t="str">
        <f>IF(flights_sample_3m[[#This Row],[DEP_DELAY]]&lt;=15,"Delayed","On Time")</f>
        <v>Delayed</v>
      </c>
      <c r="Q282">
        <v>13</v>
      </c>
      <c r="R282">
        <v>1039</v>
      </c>
      <c r="S282">
        <v>1459</v>
      </c>
      <c r="T282">
        <v>8</v>
      </c>
      <c r="U282">
        <v>1520</v>
      </c>
      <c r="V282" s="2">
        <v>1507</v>
      </c>
      <c r="W282">
        <v>-13</v>
      </c>
      <c r="X282">
        <v>0</v>
      </c>
      <c r="Y282">
        <v>0</v>
      </c>
      <c r="Z282">
        <v>0</v>
      </c>
      <c r="AA282">
        <v>230</v>
      </c>
      <c r="AB282">
        <v>221</v>
      </c>
      <c r="AC282">
        <v>200</v>
      </c>
      <c r="AD282">
        <v>1562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">
      <c r="A283" s="1">
        <v>44502</v>
      </c>
      <c r="B283" s="1" t="str">
        <f>TEXT(flights_sample_3m[[#This Row],[FL_DATE]],"yyyy-mm")</f>
        <v>2021-11</v>
      </c>
      <c r="C283" t="s">
        <v>39</v>
      </c>
      <c r="D283" t="s">
        <v>40</v>
      </c>
      <c r="E283" t="s">
        <v>41</v>
      </c>
      <c r="F283">
        <v>19790</v>
      </c>
      <c r="G283">
        <v>992</v>
      </c>
      <c r="H283" t="s">
        <v>85</v>
      </c>
      <c r="I283" t="s">
        <v>86</v>
      </c>
      <c r="J283" t="s">
        <v>194</v>
      </c>
      <c r="K283" t="s">
        <v>195</v>
      </c>
      <c r="L283">
        <v>1533</v>
      </c>
      <c r="M283" s="2">
        <v>1531</v>
      </c>
      <c r="N283">
        <v>-2</v>
      </c>
      <c r="O283" t="str">
        <f>IF(flights_sample_3m[[#This Row],[DEP_DELAY]]&lt;=15,"No delay",IF(flights_sample_3m[[#This Row],[DEP_DELAY]]&lt;=60,"Short Delay","Long Delay"))</f>
        <v>No delay</v>
      </c>
      <c r="P283" t="str">
        <f>IF(flights_sample_3m[[#This Row],[DEP_DELAY]]&lt;=15,"Delayed","On Time")</f>
        <v>Delayed</v>
      </c>
      <c r="Q283">
        <v>17</v>
      </c>
      <c r="R283">
        <v>1548</v>
      </c>
      <c r="S283">
        <v>1653</v>
      </c>
      <c r="T283">
        <v>3</v>
      </c>
      <c r="U283">
        <v>1702</v>
      </c>
      <c r="V283" s="2">
        <v>1656</v>
      </c>
      <c r="W283">
        <v>-6</v>
      </c>
      <c r="X283">
        <v>0</v>
      </c>
      <c r="Y283">
        <v>0</v>
      </c>
      <c r="Z283">
        <v>0</v>
      </c>
      <c r="AA283">
        <v>269</v>
      </c>
      <c r="AB283">
        <v>265</v>
      </c>
      <c r="AC283">
        <v>245</v>
      </c>
      <c r="AD283">
        <v>1892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">
      <c r="A284" s="1">
        <v>44994</v>
      </c>
      <c r="B284" s="1" t="str">
        <f>TEXT(flights_sample_3m[[#This Row],[FL_DATE]],"yyyy-mm")</f>
        <v>2023-03</v>
      </c>
      <c r="C284" t="s">
        <v>64</v>
      </c>
      <c r="D284" t="s">
        <v>65</v>
      </c>
      <c r="E284" t="s">
        <v>66</v>
      </c>
      <c r="F284">
        <v>19805</v>
      </c>
      <c r="G284">
        <v>2629</v>
      </c>
      <c r="H284" t="s">
        <v>221</v>
      </c>
      <c r="I284" t="s">
        <v>222</v>
      </c>
      <c r="J284" t="s">
        <v>155</v>
      </c>
      <c r="K284" t="s">
        <v>156</v>
      </c>
      <c r="L284">
        <v>1840</v>
      </c>
      <c r="M284" s="2">
        <v>1916</v>
      </c>
      <c r="N284">
        <v>36</v>
      </c>
      <c r="O284" t="str">
        <f>IF(flights_sample_3m[[#This Row],[DEP_DELAY]]&lt;=15,"No delay",IF(flights_sample_3m[[#This Row],[DEP_DELAY]]&lt;=60,"Short Delay","Long Delay"))</f>
        <v>Short Delay</v>
      </c>
      <c r="P284" t="str">
        <f>IF(flights_sample_3m[[#This Row],[DEP_DELAY]]&lt;=15,"Delayed","On Time")</f>
        <v>On Time</v>
      </c>
      <c r="Q284">
        <v>13</v>
      </c>
      <c r="R284">
        <v>1929</v>
      </c>
      <c r="S284">
        <v>2117</v>
      </c>
      <c r="T284">
        <v>5</v>
      </c>
      <c r="U284">
        <v>2054</v>
      </c>
      <c r="V284" s="2">
        <v>2122</v>
      </c>
      <c r="W284">
        <v>28</v>
      </c>
      <c r="X284">
        <v>0</v>
      </c>
      <c r="Y284">
        <v>0</v>
      </c>
      <c r="Z284">
        <v>0</v>
      </c>
      <c r="AA284">
        <v>194</v>
      </c>
      <c r="AB284">
        <v>186</v>
      </c>
      <c r="AC284">
        <v>168</v>
      </c>
      <c r="AD284">
        <v>1103</v>
      </c>
      <c r="AE284">
        <v>24</v>
      </c>
      <c r="AF284">
        <v>0</v>
      </c>
      <c r="AG284">
        <v>0</v>
      </c>
      <c r="AH284">
        <v>0</v>
      </c>
      <c r="AI284">
        <v>4</v>
      </c>
    </row>
    <row r="285" spans="1:35" x14ac:dyDescent="0.3">
      <c r="A285" s="1">
        <v>44991</v>
      </c>
      <c r="B285" s="1" t="str">
        <f>TEXT(flights_sample_3m[[#This Row],[FL_DATE]],"yyyy-mm")</f>
        <v>2023-03</v>
      </c>
      <c r="C285" t="s">
        <v>39</v>
      </c>
      <c r="D285" t="s">
        <v>40</v>
      </c>
      <c r="E285" t="s">
        <v>41</v>
      </c>
      <c r="F285">
        <v>19790</v>
      </c>
      <c r="G285">
        <v>513</v>
      </c>
      <c r="H285" t="s">
        <v>67</v>
      </c>
      <c r="I285" t="s">
        <v>68</v>
      </c>
      <c r="J285" t="s">
        <v>85</v>
      </c>
      <c r="K285" t="s">
        <v>86</v>
      </c>
      <c r="L285">
        <v>600</v>
      </c>
      <c r="M285" s="2">
        <v>552</v>
      </c>
      <c r="N285">
        <v>-8</v>
      </c>
      <c r="O285" t="str">
        <f>IF(flights_sample_3m[[#This Row],[DEP_DELAY]]&lt;=15,"No delay",IF(flights_sample_3m[[#This Row],[DEP_DELAY]]&lt;=60,"Short Delay","Long Delay"))</f>
        <v>No delay</v>
      </c>
      <c r="P285" t="str">
        <f>IF(flights_sample_3m[[#This Row],[DEP_DELAY]]&lt;=15,"Delayed","On Time")</f>
        <v>Delayed</v>
      </c>
      <c r="Q285">
        <v>14</v>
      </c>
      <c r="R285">
        <v>606</v>
      </c>
      <c r="S285">
        <v>730</v>
      </c>
      <c r="T285">
        <v>10</v>
      </c>
      <c r="U285">
        <v>802</v>
      </c>
      <c r="V285" s="2">
        <v>740</v>
      </c>
      <c r="W285">
        <v>-22</v>
      </c>
      <c r="X285">
        <v>0</v>
      </c>
      <c r="Y285">
        <v>0</v>
      </c>
      <c r="Z285">
        <v>0</v>
      </c>
      <c r="AA285">
        <v>122</v>
      </c>
      <c r="AB285">
        <v>108</v>
      </c>
      <c r="AC285">
        <v>84</v>
      </c>
      <c r="AD285">
        <v>547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">
      <c r="A286" s="1">
        <v>45096</v>
      </c>
      <c r="B286" s="1" t="str">
        <f>TEXT(flights_sample_3m[[#This Row],[FL_DATE]],"yyyy-mm")</f>
        <v>2023-06</v>
      </c>
      <c r="C286" t="s">
        <v>57</v>
      </c>
      <c r="D286" t="s">
        <v>58</v>
      </c>
      <c r="E286" t="s">
        <v>59</v>
      </c>
      <c r="F286">
        <v>19393</v>
      </c>
      <c r="G286">
        <v>3557</v>
      </c>
      <c r="H286" t="s">
        <v>78</v>
      </c>
      <c r="I286" t="s">
        <v>79</v>
      </c>
      <c r="J286" t="s">
        <v>93</v>
      </c>
      <c r="K286" t="s">
        <v>94</v>
      </c>
      <c r="L286">
        <v>635</v>
      </c>
      <c r="M286" s="2">
        <v>632</v>
      </c>
      <c r="N286">
        <v>-3</v>
      </c>
      <c r="O286" t="str">
        <f>IF(flights_sample_3m[[#This Row],[DEP_DELAY]]&lt;=15,"No delay",IF(flights_sample_3m[[#This Row],[DEP_DELAY]]&lt;=60,"Short Delay","Long Delay"))</f>
        <v>No delay</v>
      </c>
      <c r="P286" t="str">
        <f>IF(flights_sample_3m[[#This Row],[DEP_DELAY]]&lt;=15,"Delayed","On Time")</f>
        <v>Delayed</v>
      </c>
      <c r="Q286">
        <v>13</v>
      </c>
      <c r="R286">
        <v>645</v>
      </c>
      <c r="S286">
        <v>1217</v>
      </c>
      <c r="T286">
        <v>5</v>
      </c>
      <c r="U286">
        <v>1235</v>
      </c>
      <c r="V286" s="2">
        <v>1222</v>
      </c>
      <c r="W286">
        <v>-13</v>
      </c>
      <c r="X286">
        <v>0</v>
      </c>
      <c r="Y286">
        <v>0</v>
      </c>
      <c r="Z286">
        <v>0</v>
      </c>
      <c r="AA286">
        <v>240</v>
      </c>
      <c r="AB286">
        <v>230</v>
      </c>
      <c r="AC286">
        <v>212</v>
      </c>
      <c r="AD286">
        <v>1797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">
      <c r="A287" s="1">
        <v>44514</v>
      </c>
      <c r="B287" s="1" t="str">
        <f>TEXT(flights_sample_3m[[#This Row],[FL_DATE]],"yyyy-mm")</f>
        <v>2021-11</v>
      </c>
      <c r="C287" t="s">
        <v>120</v>
      </c>
      <c r="D287" t="s">
        <v>121</v>
      </c>
      <c r="E287" t="s">
        <v>122</v>
      </c>
      <c r="F287">
        <v>20397</v>
      </c>
      <c r="G287">
        <v>5314</v>
      </c>
      <c r="H287" t="s">
        <v>345</v>
      </c>
      <c r="I287" t="s">
        <v>346</v>
      </c>
      <c r="J287" t="s">
        <v>123</v>
      </c>
      <c r="K287" t="s">
        <v>124</v>
      </c>
      <c r="L287">
        <v>1437</v>
      </c>
      <c r="M287" s="2">
        <v>1515</v>
      </c>
      <c r="N287">
        <v>38</v>
      </c>
      <c r="O287" t="str">
        <f>IF(flights_sample_3m[[#This Row],[DEP_DELAY]]&lt;=15,"No delay",IF(flights_sample_3m[[#This Row],[DEP_DELAY]]&lt;=60,"Short Delay","Long Delay"))</f>
        <v>Short Delay</v>
      </c>
      <c r="P287" t="str">
        <f>IF(flights_sample_3m[[#This Row],[DEP_DELAY]]&lt;=15,"Delayed","On Time")</f>
        <v>On Time</v>
      </c>
      <c r="Q287">
        <v>14</v>
      </c>
      <c r="R287">
        <v>1529</v>
      </c>
      <c r="S287">
        <v>1612</v>
      </c>
      <c r="T287">
        <v>8</v>
      </c>
      <c r="U287">
        <v>1559</v>
      </c>
      <c r="V287" s="2">
        <v>1620</v>
      </c>
      <c r="W287">
        <v>21</v>
      </c>
      <c r="X287">
        <v>0</v>
      </c>
      <c r="Y287">
        <v>0</v>
      </c>
      <c r="Z287">
        <v>0</v>
      </c>
      <c r="AA287">
        <v>82</v>
      </c>
      <c r="AB287">
        <v>65</v>
      </c>
      <c r="AC287">
        <v>43</v>
      </c>
      <c r="AD287">
        <v>221</v>
      </c>
      <c r="AE287">
        <v>1</v>
      </c>
      <c r="AF287">
        <v>0</v>
      </c>
      <c r="AG287">
        <v>0</v>
      </c>
      <c r="AH287">
        <v>0</v>
      </c>
      <c r="AI287">
        <v>20</v>
      </c>
    </row>
    <row r="288" spans="1:35" x14ac:dyDescent="0.3">
      <c r="A288" s="1">
        <v>44856</v>
      </c>
      <c r="B288" s="1" t="str">
        <f>TEXT(flights_sample_3m[[#This Row],[FL_DATE]],"yyyy-mm")</f>
        <v>2022-10</v>
      </c>
      <c r="C288" t="s">
        <v>57</v>
      </c>
      <c r="D288" t="s">
        <v>58</v>
      </c>
      <c r="E288" t="s">
        <v>59</v>
      </c>
      <c r="F288">
        <v>19393</v>
      </c>
      <c r="G288">
        <v>1921</v>
      </c>
      <c r="H288" t="s">
        <v>327</v>
      </c>
      <c r="I288" t="s">
        <v>328</v>
      </c>
      <c r="J288" t="s">
        <v>178</v>
      </c>
      <c r="K288" t="s">
        <v>179</v>
      </c>
      <c r="L288">
        <v>1840</v>
      </c>
      <c r="M288" s="2">
        <v>1903</v>
      </c>
      <c r="N288">
        <v>23</v>
      </c>
      <c r="O288" t="str">
        <f>IF(flights_sample_3m[[#This Row],[DEP_DELAY]]&lt;=15,"No delay",IF(flights_sample_3m[[#This Row],[DEP_DELAY]]&lt;=60,"Short Delay","Long Delay"))</f>
        <v>Short Delay</v>
      </c>
      <c r="P288" t="str">
        <f>IF(flights_sample_3m[[#This Row],[DEP_DELAY]]&lt;=15,"Delayed","On Time")</f>
        <v>On Time</v>
      </c>
      <c r="Q288">
        <v>9</v>
      </c>
      <c r="R288">
        <v>1912</v>
      </c>
      <c r="S288">
        <v>2018</v>
      </c>
      <c r="T288">
        <v>4</v>
      </c>
      <c r="U288">
        <v>2000</v>
      </c>
      <c r="V288" s="2">
        <v>2022</v>
      </c>
      <c r="W288">
        <v>22</v>
      </c>
      <c r="X288">
        <v>0</v>
      </c>
      <c r="Y288">
        <v>0</v>
      </c>
      <c r="Z288">
        <v>0</v>
      </c>
      <c r="AA288">
        <v>80</v>
      </c>
      <c r="AB288">
        <v>79</v>
      </c>
      <c r="AC288">
        <v>66</v>
      </c>
      <c r="AD288">
        <v>387</v>
      </c>
      <c r="AE288">
        <v>7</v>
      </c>
      <c r="AF288">
        <v>0</v>
      </c>
      <c r="AG288">
        <v>0</v>
      </c>
      <c r="AH288">
        <v>0</v>
      </c>
      <c r="AI288">
        <v>15</v>
      </c>
    </row>
    <row r="289" spans="1:35" x14ac:dyDescent="0.3">
      <c r="A289" s="1">
        <v>43494</v>
      </c>
      <c r="B289" s="1" t="str">
        <f>TEXT(flights_sample_3m[[#This Row],[FL_DATE]],"yyyy-mm")</f>
        <v>2019-01</v>
      </c>
      <c r="C289" t="s">
        <v>107</v>
      </c>
      <c r="D289" t="s">
        <v>108</v>
      </c>
      <c r="E289" t="s">
        <v>109</v>
      </c>
      <c r="F289">
        <v>20409</v>
      </c>
      <c r="G289">
        <v>1033</v>
      </c>
      <c r="H289" t="s">
        <v>53</v>
      </c>
      <c r="I289" t="s">
        <v>54</v>
      </c>
      <c r="J289" t="s">
        <v>192</v>
      </c>
      <c r="K289" t="s">
        <v>193</v>
      </c>
      <c r="L289">
        <v>936</v>
      </c>
      <c r="M289" s="2">
        <v>932</v>
      </c>
      <c r="N289">
        <v>-4</v>
      </c>
      <c r="O289" t="str">
        <f>IF(flights_sample_3m[[#This Row],[DEP_DELAY]]&lt;=15,"No delay",IF(flights_sample_3m[[#This Row],[DEP_DELAY]]&lt;=60,"Short Delay","Long Delay"))</f>
        <v>No delay</v>
      </c>
      <c r="P289" t="str">
        <f>IF(flights_sample_3m[[#This Row],[DEP_DELAY]]&lt;=15,"Delayed","On Time")</f>
        <v>Delayed</v>
      </c>
      <c r="Q289">
        <v>19</v>
      </c>
      <c r="R289">
        <v>951</v>
      </c>
      <c r="S289">
        <v>1311</v>
      </c>
      <c r="T289">
        <v>5</v>
      </c>
      <c r="U289">
        <v>1325</v>
      </c>
      <c r="V289" s="2">
        <v>1316</v>
      </c>
      <c r="W289">
        <v>-9</v>
      </c>
      <c r="X289">
        <v>0</v>
      </c>
      <c r="Y289">
        <v>0</v>
      </c>
      <c r="Z289">
        <v>0</v>
      </c>
      <c r="AA289">
        <v>169</v>
      </c>
      <c r="AB289">
        <v>164</v>
      </c>
      <c r="AC289">
        <v>140</v>
      </c>
      <c r="AD289">
        <v>1189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">
      <c r="A290" s="1">
        <v>44675</v>
      </c>
      <c r="B290" s="1" t="str">
        <f>TEXT(flights_sample_3m[[#This Row],[FL_DATE]],"yyyy-mm")</f>
        <v>2022-04</v>
      </c>
      <c r="C290" t="s">
        <v>32</v>
      </c>
      <c r="D290" t="s">
        <v>33</v>
      </c>
      <c r="E290" t="s">
        <v>34</v>
      </c>
      <c r="F290">
        <v>19977</v>
      </c>
      <c r="G290">
        <v>2367</v>
      </c>
      <c r="H290" t="s">
        <v>262</v>
      </c>
      <c r="I290" t="s">
        <v>263</v>
      </c>
      <c r="J290" t="s">
        <v>48</v>
      </c>
      <c r="K290" t="s">
        <v>49</v>
      </c>
      <c r="L290">
        <v>600</v>
      </c>
      <c r="M290" s="2">
        <v>557</v>
      </c>
      <c r="N290">
        <v>-3</v>
      </c>
      <c r="O290" t="str">
        <f>IF(flights_sample_3m[[#This Row],[DEP_DELAY]]&lt;=15,"No delay",IF(flights_sample_3m[[#This Row],[DEP_DELAY]]&lt;=60,"Short Delay","Long Delay"))</f>
        <v>No delay</v>
      </c>
      <c r="P290" t="str">
        <f>IF(flights_sample_3m[[#This Row],[DEP_DELAY]]&lt;=15,"Delayed","On Time")</f>
        <v>Delayed</v>
      </c>
      <c r="Q290">
        <v>10</v>
      </c>
      <c r="R290">
        <v>607</v>
      </c>
      <c r="S290">
        <v>810</v>
      </c>
      <c r="T290">
        <v>5</v>
      </c>
      <c r="U290">
        <v>833</v>
      </c>
      <c r="V290" s="2">
        <v>815</v>
      </c>
      <c r="W290">
        <v>-18</v>
      </c>
      <c r="X290">
        <v>0</v>
      </c>
      <c r="Y290">
        <v>0</v>
      </c>
      <c r="Z290">
        <v>0</v>
      </c>
      <c r="AA290">
        <v>333</v>
      </c>
      <c r="AB290">
        <v>318</v>
      </c>
      <c r="AC290">
        <v>303</v>
      </c>
      <c r="AD290">
        <v>2254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">
      <c r="A291" s="1">
        <v>44524</v>
      </c>
      <c r="B291" s="1" t="str">
        <f>TEXT(flights_sample_3m[[#This Row],[FL_DATE]],"yyyy-mm")</f>
        <v>2021-11</v>
      </c>
      <c r="C291" t="s">
        <v>32</v>
      </c>
      <c r="D291" t="s">
        <v>33</v>
      </c>
      <c r="E291" t="s">
        <v>34</v>
      </c>
      <c r="F291">
        <v>19977</v>
      </c>
      <c r="G291">
        <v>1962</v>
      </c>
      <c r="H291" t="s">
        <v>106</v>
      </c>
      <c r="I291" t="s">
        <v>92</v>
      </c>
      <c r="J291" t="s">
        <v>266</v>
      </c>
      <c r="K291" t="s">
        <v>267</v>
      </c>
      <c r="L291">
        <v>1545</v>
      </c>
      <c r="M291" s="2">
        <v>1543</v>
      </c>
      <c r="N291">
        <v>-2</v>
      </c>
      <c r="O291" t="str">
        <f>IF(flights_sample_3m[[#This Row],[DEP_DELAY]]&lt;=15,"No delay",IF(flights_sample_3m[[#This Row],[DEP_DELAY]]&lt;=60,"Short Delay","Long Delay"))</f>
        <v>No delay</v>
      </c>
      <c r="P291" t="str">
        <f>IF(flights_sample_3m[[#This Row],[DEP_DELAY]]&lt;=15,"Delayed","On Time")</f>
        <v>Delayed</v>
      </c>
      <c r="Q291">
        <v>15</v>
      </c>
      <c r="R291">
        <v>1558</v>
      </c>
      <c r="S291">
        <v>1709</v>
      </c>
      <c r="T291">
        <v>3</v>
      </c>
      <c r="U291">
        <v>1720</v>
      </c>
      <c r="V291" s="2">
        <v>1712</v>
      </c>
      <c r="W291">
        <v>-8</v>
      </c>
      <c r="X291">
        <v>0</v>
      </c>
      <c r="Y291">
        <v>0</v>
      </c>
      <c r="Z291">
        <v>0</v>
      </c>
      <c r="AA291">
        <v>95</v>
      </c>
      <c r="AB291">
        <v>89</v>
      </c>
      <c r="AC291">
        <v>71</v>
      </c>
      <c r="AD291">
        <v>416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">
      <c r="A292" s="1">
        <v>45038</v>
      </c>
      <c r="B292" s="1" t="str">
        <f>TEXT(flights_sample_3m[[#This Row],[FL_DATE]],"yyyy-mm")</f>
        <v>2023-04</v>
      </c>
      <c r="C292" t="s">
        <v>57</v>
      </c>
      <c r="D292" t="s">
        <v>58</v>
      </c>
      <c r="E292" t="s">
        <v>59</v>
      </c>
      <c r="F292">
        <v>19393</v>
      </c>
      <c r="G292">
        <v>2720</v>
      </c>
      <c r="H292" t="s">
        <v>62</v>
      </c>
      <c r="I292" t="s">
        <v>63</v>
      </c>
      <c r="J292" t="s">
        <v>46</v>
      </c>
      <c r="K292" t="s">
        <v>47</v>
      </c>
      <c r="L292">
        <v>1240</v>
      </c>
      <c r="M292" s="2">
        <v>1237</v>
      </c>
      <c r="N292">
        <v>-3</v>
      </c>
      <c r="O292" t="str">
        <f>IF(flights_sample_3m[[#This Row],[DEP_DELAY]]&lt;=15,"No delay",IF(flights_sample_3m[[#This Row],[DEP_DELAY]]&lt;=60,"Short Delay","Long Delay"))</f>
        <v>No delay</v>
      </c>
      <c r="P292" t="str">
        <f>IF(flights_sample_3m[[#This Row],[DEP_DELAY]]&lt;=15,"Delayed","On Time")</f>
        <v>Delayed</v>
      </c>
      <c r="Q292">
        <v>13</v>
      </c>
      <c r="R292">
        <v>1250</v>
      </c>
      <c r="S292">
        <v>1307</v>
      </c>
      <c r="T292">
        <v>7</v>
      </c>
      <c r="U292">
        <v>1320</v>
      </c>
      <c r="V292" s="2">
        <v>1314</v>
      </c>
      <c r="W292">
        <v>-6</v>
      </c>
      <c r="X292">
        <v>0</v>
      </c>
      <c r="Y292">
        <v>0</v>
      </c>
      <c r="Z292">
        <v>0</v>
      </c>
      <c r="AA292">
        <v>100</v>
      </c>
      <c r="AB292">
        <v>97</v>
      </c>
      <c r="AC292">
        <v>77</v>
      </c>
      <c r="AD292">
        <v>495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">
      <c r="A293" s="1">
        <v>44717</v>
      </c>
      <c r="B293" s="1" t="str">
        <f>TEXT(flights_sample_3m[[#This Row],[FL_DATE]],"yyyy-mm")</f>
        <v>2022-06</v>
      </c>
      <c r="C293" t="s">
        <v>50</v>
      </c>
      <c r="D293" t="s">
        <v>51</v>
      </c>
      <c r="E293" t="s">
        <v>52</v>
      </c>
      <c r="F293">
        <v>20416</v>
      </c>
      <c r="G293">
        <v>815</v>
      </c>
      <c r="H293" t="s">
        <v>106</v>
      </c>
      <c r="I293" t="s">
        <v>92</v>
      </c>
      <c r="J293" t="s">
        <v>102</v>
      </c>
      <c r="K293" t="s">
        <v>103</v>
      </c>
      <c r="L293">
        <v>1616</v>
      </c>
      <c r="M293" s="2">
        <v>1631</v>
      </c>
      <c r="N293">
        <v>15</v>
      </c>
      <c r="O293" t="str">
        <f>IF(flights_sample_3m[[#This Row],[DEP_DELAY]]&lt;=15,"No delay",IF(flights_sample_3m[[#This Row],[DEP_DELAY]]&lt;=60,"Short Delay","Long Delay"))</f>
        <v>No delay</v>
      </c>
      <c r="P293" t="str">
        <f>IF(flights_sample_3m[[#This Row],[DEP_DELAY]]&lt;=15,"Delayed","On Time")</f>
        <v>Delayed</v>
      </c>
      <c r="Q293">
        <v>12</v>
      </c>
      <c r="R293">
        <v>1643</v>
      </c>
      <c r="S293">
        <v>1827</v>
      </c>
      <c r="T293">
        <v>5</v>
      </c>
      <c r="U293">
        <v>1841</v>
      </c>
      <c r="V293" s="2">
        <v>1832</v>
      </c>
      <c r="W293">
        <v>-9</v>
      </c>
      <c r="X293">
        <v>0</v>
      </c>
      <c r="Y293">
        <v>0</v>
      </c>
      <c r="Z293">
        <v>0</v>
      </c>
      <c r="AA293">
        <v>145</v>
      </c>
      <c r="AB293">
        <v>121</v>
      </c>
      <c r="AC293">
        <v>104</v>
      </c>
      <c r="AD293">
        <v>836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">
      <c r="A294" s="1">
        <v>44613</v>
      </c>
      <c r="B294" s="1" t="str">
        <f>TEXT(flights_sample_3m[[#This Row],[FL_DATE]],"yyyy-mm")</f>
        <v>2022-02</v>
      </c>
      <c r="C294" t="s">
        <v>57</v>
      </c>
      <c r="D294" t="s">
        <v>58</v>
      </c>
      <c r="E294" t="s">
        <v>59</v>
      </c>
      <c r="F294">
        <v>19393</v>
      </c>
      <c r="G294">
        <v>1121</v>
      </c>
      <c r="H294" t="s">
        <v>205</v>
      </c>
      <c r="I294" t="s">
        <v>206</v>
      </c>
      <c r="J294" t="s">
        <v>159</v>
      </c>
      <c r="K294" t="s">
        <v>160</v>
      </c>
      <c r="L294">
        <v>1300</v>
      </c>
      <c r="M294" s="2">
        <v>1258</v>
      </c>
      <c r="N294">
        <v>-2</v>
      </c>
      <c r="O294" t="str">
        <f>IF(flights_sample_3m[[#This Row],[DEP_DELAY]]&lt;=15,"No delay",IF(flights_sample_3m[[#This Row],[DEP_DELAY]]&lt;=60,"Short Delay","Long Delay"))</f>
        <v>No delay</v>
      </c>
      <c r="P294" t="str">
        <f>IF(flights_sample_3m[[#This Row],[DEP_DELAY]]&lt;=15,"Delayed","On Time")</f>
        <v>Delayed</v>
      </c>
      <c r="Q294">
        <v>10</v>
      </c>
      <c r="R294">
        <v>1308</v>
      </c>
      <c r="S294">
        <v>1518</v>
      </c>
      <c r="T294">
        <v>5</v>
      </c>
      <c r="U294">
        <v>1545</v>
      </c>
      <c r="V294" s="2">
        <v>1523</v>
      </c>
      <c r="W294">
        <v>-22</v>
      </c>
      <c r="X294">
        <v>0</v>
      </c>
      <c r="Y294">
        <v>0</v>
      </c>
      <c r="Z294">
        <v>0</v>
      </c>
      <c r="AA294">
        <v>165</v>
      </c>
      <c r="AB294">
        <v>145</v>
      </c>
      <c r="AC294">
        <v>130</v>
      </c>
      <c r="AD294">
        <v>920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">
      <c r="A295" s="1">
        <v>43497</v>
      </c>
      <c r="B295" s="1" t="str">
        <f>TEXT(flights_sample_3m[[#This Row],[FL_DATE]],"yyyy-mm")</f>
        <v>2019-02</v>
      </c>
      <c r="C295" t="s">
        <v>167</v>
      </c>
      <c r="D295" t="s">
        <v>168</v>
      </c>
      <c r="E295" t="s">
        <v>169</v>
      </c>
      <c r="F295">
        <v>20363</v>
      </c>
      <c r="G295">
        <v>5077</v>
      </c>
      <c r="H295" t="s">
        <v>55</v>
      </c>
      <c r="I295" t="s">
        <v>56</v>
      </c>
      <c r="J295" t="s">
        <v>333</v>
      </c>
      <c r="K295" t="s">
        <v>334</v>
      </c>
      <c r="L295">
        <v>1936</v>
      </c>
      <c r="M295" s="2">
        <v>1929</v>
      </c>
      <c r="N295">
        <v>-7</v>
      </c>
      <c r="O295" t="str">
        <f>IF(flights_sample_3m[[#This Row],[DEP_DELAY]]&lt;=15,"No delay",IF(flights_sample_3m[[#This Row],[DEP_DELAY]]&lt;=60,"Short Delay","Long Delay"))</f>
        <v>No delay</v>
      </c>
      <c r="P295" t="str">
        <f>IF(flights_sample_3m[[#This Row],[DEP_DELAY]]&lt;=15,"Delayed","On Time")</f>
        <v>Delayed</v>
      </c>
      <c r="Q295">
        <v>14</v>
      </c>
      <c r="R295">
        <v>1943</v>
      </c>
      <c r="S295">
        <v>2228</v>
      </c>
      <c r="T295">
        <v>4</v>
      </c>
      <c r="U295">
        <v>2247</v>
      </c>
      <c r="V295" s="2">
        <v>2232</v>
      </c>
      <c r="W295">
        <v>-15</v>
      </c>
      <c r="X295">
        <v>0</v>
      </c>
      <c r="Y295">
        <v>0</v>
      </c>
      <c r="Z295">
        <v>0</v>
      </c>
      <c r="AA295">
        <v>131</v>
      </c>
      <c r="AB295">
        <v>123</v>
      </c>
      <c r="AC295">
        <v>105</v>
      </c>
      <c r="AD295">
        <v>812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">
      <c r="A296" s="1">
        <v>43673</v>
      </c>
      <c r="B296" s="1" t="str">
        <f>TEXT(flights_sample_3m[[#This Row],[FL_DATE]],"yyyy-mm")</f>
        <v>2019-07</v>
      </c>
      <c r="C296" t="s">
        <v>57</v>
      </c>
      <c r="D296" t="s">
        <v>58</v>
      </c>
      <c r="E296" t="s">
        <v>59</v>
      </c>
      <c r="F296">
        <v>19393</v>
      </c>
      <c r="G296">
        <v>4994</v>
      </c>
      <c r="H296" t="s">
        <v>270</v>
      </c>
      <c r="I296" t="s">
        <v>271</v>
      </c>
      <c r="J296" t="s">
        <v>201</v>
      </c>
      <c r="K296" t="s">
        <v>202</v>
      </c>
      <c r="L296">
        <v>1715</v>
      </c>
      <c r="M296" s="2">
        <v>1713</v>
      </c>
      <c r="N296">
        <v>-2</v>
      </c>
      <c r="O296" t="str">
        <f>IF(flights_sample_3m[[#This Row],[DEP_DELAY]]&lt;=15,"No delay",IF(flights_sample_3m[[#This Row],[DEP_DELAY]]&lt;=60,"Short Delay","Long Delay"))</f>
        <v>No delay</v>
      </c>
      <c r="P296" t="str">
        <f>IF(flights_sample_3m[[#This Row],[DEP_DELAY]]&lt;=15,"Delayed","On Time")</f>
        <v>Delayed</v>
      </c>
      <c r="Q296">
        <v>7</v>
      </c>
      <c r="R296">
        <v>1720</v>
      </c>
      <c r="S296">
        <v>1819</v>
      </c>
      <c r="T296">
        <v>6</v>
      </c>
      <c r="U296">
        <v>1845</v>
      </c>
      <c r="V296" s="2">
        <v>1825</v>
      </c>
      <c r="W296">
        <v>-20</v>
      </c>
      <c r="X296">
        <v>0</v>
      </c>
      <c r="Y296">
        <v>0</v>
      </c>
      <c r="Z296">
        <v>0</v>
      </c>
      <c r="AA296">
        <v>270</v>
      </c>
      <c r="AB296">
        <v>252</v>
      </c>
      <c r="AC296">
        <v>239</v>
      </c>
      <c r="AD296">
        <v>1912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">
      <c r="A297" s="1">
        <v>43677</v>
      </c>
      <c r="B297" s="1" t="str">
        <f>TEXT(flights_sample_3m[[#This Row],[FL_DATE]],"yyyy-mm")</f>
        <v>2019-07</v>
      </c>
      <c r="C297" t="s">
        <v>57</v>
      </c>
      <c r="D297" t="s">
        <v>58</v>
      </c>
      <c r="E297" t="s">
        <v>59</v>
      </c>
      <c r="F297">
        <v>19393</v>
      </c>
      <c r="G297">
        <v>936</v>
      </c>
      <c r="H297" t="s">
        <v>159</v>
      </c>
      <c r="I297" t="s">
        <v>160</v>
      </c>
      <c r="J297" t="s">
        <v>98</v>
      </c>
      <c r="K297" t="s">
        <v>99</v>
      </c>
      <c r="L297">
        <v>2220</v>
      </c>
      <c r="M297" s="2">
        <v>2249</v>
      </c>
      <c r="N297">
        <v>29</v>
      </c>
      <c r="O297" t="str">
        <f>IF(flights_sample_3m[[#This Row],[DEP_DELAY]]&lt;=15,"No delay",IF(flights_sample_3m[[#This Row],[DEP_DELAY]]&lt;=60,"Short Delay","Long Delay"))</f>
        <v>Short Delay</v>
      </c>
      <c r="P297" t="str">
        <f>IF(flights_sample_3m[[#This Row],[DEP_DELAY]]&lt;=15,"Delayed","On Time")</f>
        <v>On Time</v>
      </c>
      <c r="Q297">
        <v>8</v>
      </c>
      <c r="R297">
        <v>2257</v>
      </c>
      <c r="S297">
        <v>44</v>
      </c>
      <c r="T297">
        <v>4</v>
      </c>
      <c r="U297">
        <v>30</v>
      </c>
      <c r="V297" s="2">
        <v>48</v>
      </c>
      <c r="W297">
        <v>18</v>
      </c>
      <c r="X297">
        <v>0</v>
      </c>
      <c r="Y297">
        <v>0</v>
      </c>
      <c r="Z297">
        <v>0</v>
      </c>
      <c r="AA297">
        <v>130</v>
      </c>
      <c r="AB297">
        <v>119</v>
      </c>
      <c r="AC297">
        <v>107</v>
      </c>
      <c r="AD297">
        <v>842</v>
      </c>
      <c r="AE297">
        <v>0</v>
      </c>
      <c r="AF297">
        <v>0</v>
      </c>
      <c r="AG297">
        <v>0</v>
      </c>
      <c r="AH297">
        <v>0</v>
      </c>
      <c r="AI297">
        <v>18</v>
      </c>
    </row>
    <row r="298" spans="1:35" x14ac:dyDescent="0.3">
      <c r="A298" s="1">
        <v>44312</v>
      </c>
      <c r="B298" s="1" t="str">
        <f>TEXT(flights_sample_3m[[#This Row],[FL_DATE]],"yyyy-mm")</f>
        <v>2021-04</v>
      </c>
      <c r="C298" t="s">
        <v>148</v>
      </c>
      <c r="D298" t="s">
        <v>149</v>
      </c>
      <c r="E298" t="s">
        <v>150</v>
      </c>
      <c r="F298">
        <v>20304</v>
      </c>
      <c r="G298">
        <v>3147</v>
      </c>
      <c r="H298" t="s">
        <v>106</v>
      </c>
      <c r="I298" t="s">
        <v>92</v>
      </c>
      <c r="J298" t="s">
        <v>333</v>
      </c>
      <c r="K298" t="s">
        <v>334</v>
      </c>
      <c r="L298">
        <v>1244</v>
      </c>
      <c r="M298" s="2">
        <v>1239</v>
      </c>
      <c r="N298">
        <v>-5</v>
      </c>
      <c r="O298" t="str">
        <f>IF(flights_sample_3m[[#This Row],[DEP_DELAY]]&lt;=15,"No delay",IF(flights_sample_3m[[#This Row],[DEP_DELAY]]&lt;=60,"Short Delay","Long Delay"))</f>
        <v>No delay</v>
      </c>
      <c r="P298" t="str">
        <f>IF(flights_sample_3m[[#This Row],[DEP_DELAY]]&lt;=15,"Delayed","On Time")</f>
        <v>Delayed</v>
      </c>
      <c r="Q298">
        <v>15</v>
      </c>
      <c r="R298">
        <v>1254</v>
      </c>
      <c r="S298">
        <v>1436</v>
      </c>
      <c r="T298">
        <v>7</v>
      </c>
      <c r="U298">
        <v>1505</v>
      </c>
      <c r="V298" s="2">
        <v>1443</v>
      </c>
      <c r="W298">
        <v>-22</v>
      </c>
      <c r="X298">
        <v>0</v>
      </c>
      <c r="Y298">
        <v>0</v>
      </c>
      <c r="Z298">
        <v>0</v>
      </c>
      <c r="AA298">
        <v>81</v>
      </c>
      <c r="AB298">
        <v>64</v>
      </c>
      <c r="AC298">
        <v>42</v>
      </c>
      <c r="AD298">
        <v>264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 s="1">
        <v>44088</v>
      </c>
      <c r="B299" s="1" t="str">
        <f>TEXT(flights_sample_3m[[#This Row],[FL_DATE]],"yyyy-mm")</f>
        <v>2020-09</v>
      </c>
      <c r="C299" t="s">
        <v>182</v>
      </c>
      <c r="D299" t="s">
        <v>183</v>
      </c>
      <c r="E299" t="s">
        <v>184</v>
      </c>
      <c r="F299">
        <v>20398</v>
      </c>
      <c r="G299">
        <v>3438</v>
      </c>
      <c r="H299" t="s">
        <v>106</v>
      </c>
      <c r="I299" t="s">
        <v>92</v>
      </c>
      <c r="J299" t="s">
        <v>207</v>
      </c>
      <c r="K299" t="s">
        <v>208</v>
      </c>
      <c r="L299">
        <v>1825</v>
      </c>
      <c r="M299" s="2">
        <v>1818</v>
      </c>
      <c r="N299">
        <v>-7</v>
      </c>
      <c r="O299" t="str">
        <f>IF(flights_sample_3m[[#This Row],[DEP_DELAY]]&lt;=15,"No delay",IF(flights_sample_3m[[#This Row],[DEP_DELAY]]&lt;=60,"Short Delay","Long Delay"))</f>
        <v>No delay</v>
      </c>
      <c r="P299" t="str">
        <f>IF(flights_sample_3m[[#This Row],[DEP_DELAY]]&lt;=15,"Delayed","On Time")</f>
        <v>Delayed</v>
      </c>
      <c r="Q299">
        <v>38</v>
      </c>
      <c r="R299">
        <v>1856</v>
      </c>
      <c r="S299">
        <v>2151</v>
      </c>
      <c r="T299">
        <v>3</v>
      </c>
      <c r="U299">
        <v>2151</v>
      </c>
      <c r="V299" s="2">
        <v>2154</v>
      </c>
      <c r="W299">
        <v>3</v>
      </c>
      <c r="X299">
        <v>0</v>
      </c>
      <c r="Y299">
        <v>0</v>
      </c>
      <c r="Z299">
        <v>0</v>
      </c>
      <c r="AA299">
        <v>146</v>
      </c>
      <c r="AB299">
        <v>156</v>
      </c>
      <c r="AC299">
        <v>115</v>
      </c>
      <c r="AD299">
        <v>900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">
      <c r="A300" s="1">
        <v>44815</v>
      </c>
      <c r="B300" s="1" t="str">
        <f>TEXT(flights_sample_3m[[#This Row],[FL_DATE]],"yyyy-mm")</f>
        <v>2022-09</v>
      </c>
      <c r="C300" t="s">
        <v>64</v>
      </c>
      <c r="D300" t="s">
        <v>65</v>
      </c>
      <c r="E300" t="s">
        <v>66</v>
      </c>
      <c r="F300">
        <v>19805</v>
      </c>
      <c r="G300">
        <v>2932</v>
      </c>
      <c r="H300" t="s">
        <v>123</v>
      </c>
      <c r="I300" t="s">
        <v>124</v>
      </c>
      <c r="J300" t="s">
        <v>329</v>
      </c>
      <c r="K300" t="s">
        <v>330</v>
      </c>
      <c r="L300">
        <v>1240</v>
      </c>
      <c r="M300" s="2">
        <v>1238</v>
      </c>
      <c r="N300">
        <v>-2</v>
      </c>
      <c r="O300" t="str">
        <f>IF(flights_sample_3m[[#This Row],[DEP_DELAY]]&lt;=15,"No delay",IF(flights_sample_3m[[#This Row],[DEP_DELAY]]&lt;=60,"Short Delay","Long Delay"))</f>
        <v>No delay</v>
      </c>
      <c r="P300" t="str">
        <f>IF(flights_sample_3m[[#This Row],[DEP_DELAY]]&lt;=15,"Delayed","On Time")</f>
        <v>Delayed</v>
      </c>
      <c r="Q300">
        <v>10</v>
      </c>
      <c r="R300">
        <v>1248</v>
      </c>
      <c r="S300">
        <v>1326</v>
      </c>
      <c r="T300">
        <v>5</v>
      </c>
      <c r="U300">
        <v>1341</v>
      </c>
      <c r="V300" s="2">
        <v>1331</v>
      </c>
      <c r="W300">
        <v>-10</v>
      </c>
      <c r="X300">
        <v>0</v>
      </c>
      <c r="Y300">
        <v>0</v>
      </c>
      <c r="Z300">
        <v>0</v>
      </c>
      <c r="AA300">
        <v>61</v>
      </c>
      <c r="AB300">
        <v>53</v>
      </c>
      <c r="AC300">
        <v>38</v>
      </c>
      <c r="AD300">
        <v>213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">
      <c r="A301" s="1">
        <v>43889</v>
      </c>
      <c r="B301" s="1" t="str">
        <f>TEXT(flights_sample_3m[[#This Row],[FL_DATE]],"yyyy-mm")</f>
        <v>2020-02</v>
      </c>
      <c r="C301" t="s">
        <v>39</v>
      </c>
      <c r="D301" t="s">
        <v>40</v>
      </c>
      <c r="E301" t="s">
        <v>41</v>
      </c>
      <c r="F301">
        <v>19790</v>
      </c>
      <c r="G301">
        <v>310</v>
      </c>
      <c r="H301" t="s">
        <v>85</v>
      </c>
      <c r="I301" t="s">
        <v>86</v>
      </c>
      <c r="J301" t="s">
        <v>102</v>
      </c>
      <c r="K301" t="s">
        <v>103</v>
      </c>
      <c r="L301">
        <v>726</v>
      </c>
      <c r="M301" s="2">
        <v>723</v>
      </c>
      <c r="N301">
        <v>-3</v>
      </c>
      <c r="O301" t="str">
        <f>IF(flights_sample_3m[[#This Row],[DEP_DELAY]]&lt;=15,"No delay",IF(flights_sample_3m[[#This Row],[DEP_DELAY]]&lt;=60,"Short Delay","Long Delay"))</f>
        <v>No delay</v>
      </c>
      <c r="P301" t="str">
        <f>IF(flights_sample_3m[[#This Row],[DEP_DELAY]]&lt;=15,"Delayed","On Time")</f>
        <v>Delayed</v>
      </c>
      <c r="Q301">
        <v>13</v>
      </c>
      <c r="R301">
        <v>736</v>
      </c>
      <c r="S301">
        <v>746</v>
      </c>
      <c r="T301">
        <v>4</v>
      </c>
      <c r="U301">
        <v>800</v>
      </c>
      <c r="V301" s="2">
        <v>750</v>
      </c>
      <c r="W301">
        <v>-10</v>
      </c>
      <c r="X301">
        <v>0</v>
      </c>
      <c r="Y301">
        <v>0</v>
      </c>
      <c r="Z301">
        <v>0</v>
      </c>
      <c r="AA301">
        <v>94</v>
      </c>
      <c r="AB301">
        <v>87</v>
      </c>
      <c r="AC301">
        <v>70</v>
      </c>
      <c r="AD301">
        <v>425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">
      <c r="A302" s="1">
        <v>44705</v>
      </c>
      <c r="B302" s="1" t="str">
        <f>TEXT(flights_sample_3m[[#This Row],[FL_DATE]],"yyyy-mm")</f>
        <v>2022-05</v>
      </c>
      <c r="C302" t="s">
        <v>57</v>
      </c>
      <c r="D302" t="s">
        <v>58</v>
      </c>
      <c r="E302" t="s">
        <v>59</v>
      </c>
      <c r="F302">
        <v>19393</v>
      </c>
      <c r="G302">
        <v>922</v>
      </c>
      <c r="H302" t="s">
        <v>347</v>
      </c>
      <c r="I302" t="s">
        <v>348</v>
      </c>
      <c r="J302" t="s">
        <v>91</v>
      </c>
      <c r="K302" t="s">
        <v>92</v>
      </c>
      <c r="L302">
        <v>550</v>
      </c>
      <c r="M302" s="2">
        <v>546</v>
      </c>
      <c r="N302">
        <v>-4</v>
      </c>
      <c r="O302" t="str">
        <f>IF(flights_sample_3m[[#This Row],[DEP_DELAY]]&lt;=15,"No delay",IF(flights_sample_3m[[#This Row],[DEP_DELAY]]&lt;=60,"Short Delay","Long Delay"))</f>
        <v>No delay</v>
      </c>
      <c r="P302" t="str">
        <f>IF(flights_sample_3m[[#This Row],[DEP_DELAY]]&lt;=15,"Delayed","On Time")</f>
        <v>Delayed</v>
      </c>
      <c r="Q302">
        <v>9</v>
      </c>
      <c r="R302">
        <v>555</v>
      </c>
      <c r="S302">
        <v>702</v>
      </c>
      <c r="T302">
        <v>31</v>
      </c>
      <c r="U302">
        <v>725</v>
      </c>
      <c r="V302" s="2">
        <v>733</v>
      </c>
      <c r="W302">
        <v>8</v>
      </c>
      <c r="X302">
        <v>0</v>
      </c>
      <c r="Y302">
        <v>0</v>
      </c>
      <c r="Z302">
        <v>0</v>
      </c>
      <c r="AA302">
        <v>155</v>
      </c>
      <c r="AB302">
        <v>167</v>
      </c>
      <c r="AC302">
        <v>127</v>
      </c>
      <c r="AD302">
        <v>842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">
      <c r="A303" s="1">
        <v>44943</v>
      </c>
      <c r="B303" s="1" t="str">
        <f>TEXT(flights_sample_3m[[#This Row],[FL_DATE]],"yyyy-mm")</f>
        <v>2023-01</v>
      </c>
      <c r="C303" t="s">
        <v>107</v>
      </c>
      <c r="D303" t="s">
        <v>108</v>
      </c>
      <c r="E303" t="s">
        <v>109</v>
      </c>
      <c r="F303">
        <v>20409</v>
      </c>
      <c r="G303">
        <v>781</v>
      </c>
      <c r="H303" t="s">
        <v>69</v>
      </c>
      <c r="I303" t="s">
        <v>70</v>
      </c>
      <c r="J303" t="s">
        <v>231</v>
      </c>
      <c r="K303" t="s">
        <v>232</v>
      </c>
      <c r="L303">
        <v>1404</v>
      </c>
      <c r="M303" s="2">
        <v>1404</v>
      </c>
      <c r="N303">
        <v>0</v>
      </c>
      <c r="O303" t="str">
        <f>IF(flights_sample_3m[[#This Row],[DEP_DELAY]]&lt;=15,"No delay",IF(flights_sample_3m[[#This Row],[DEP_DELAY]]&lt;=60,"Short Delay","Long Delay"))</f>
        <v>No delay</v>
      </c>
      <c r="P303" t="str">
        <f>IF(flights_sample_3m[[#This Row],[DEP_DELAY]]&lt;=15,"Delayed","On Time")</f>
        <v>Delayed</v>
      </c>
      <c r="Q303">
        <v>16</v>
      </c>
      <c r="R303">
        <v>1420</v>
      </c>
      <c r="S303">
        <v>1547</v>
      </c>
      <c r="T303">
        <v>6</v>
      </c>
      <c r="U303">
        <v>1552</v>
      </c>
      <c r="V303" s="2">
        <v>1553</v>
      </c>
      <c r="W303">
        <v>1</v>
      </c>
      <c r="X303">
        <v>0</v>
      </c>
      <c r="Y303">
        <v>0</v>
      </c>
      <c r="Z303">
        <v>0</v>
      </c>
      <c r="AA303">
        <v>108</v>
      </c>
      <c r="AB303">
        <v>109</v>
      </c>
      <c r="AC303">
        <v>87</v>
      </c>
      <c r="AD303">
        <v>474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 s="1">
        <v>44870</v>
      </c>
      <c r="B304" s="1" t="str">
        <f>TEXT(flights_sample_3m[[#This Row],[FL_DATE]],"yyyy-mm")</f>
        <v>2022-11</v>
      </c>
      <c r="C304" t="s">
        <v>50</v>
      </c>
      <c r="D304" t="s">
        <v>51</v>
      </c>
      <c r="E304" t="s">
        <v>52</v>
      </c>
      <c r="F304">
        <v>20416</v>
      </c>
      <c r="G304">
        <v>3925</v>
      </c>
      <c r="H304" t="s">
        <v>221</v>
      </c>
      <c r="I304" t="s">
        <v>222</v>
      </c>
      <c r="J304" t="s">
        <v>177</v>
      </c>
      <c r="K304" t="s">
        <v>111</v>
      </c>
      <c r="L304">
        <v>1202</v>
      </c>
      <c r="M304" s="2">
        <v>1211</v>
      </c>
      <c r="N304">
        <v>9</v>
      </c>
      <c r="O304" t="str">
        <f>IF(flights_sample_3m[[#This Row],[DEP_DELAY]]&lt;=15,"No delay",IF(flights_sample_3m[[#This Row],[DEP_DELAY]]&lt;=60,"Short Delay","Long Delay"))</f>
        <v>No delay</v>
      </c>
      <c r="P304" t="str">
        <f>IF(flights_sample_3m[[#This Row],[DEP_DELAY]]&lt;=15,"Delayed","On Time")</f>
        <v>Delayed</v>
      </c>
      <c r="Q304">
        <v>14</v>
      </c>
      <c r="R304">
        <v>1225</v>
      </c>
      <c r="S304">
        <v>1456</v>
      </c>
      <c r="T304">
        <v>3</v>
      </c>
      <c r="U304">
        <v>1459</v>
      </c>
      <c r="V304" s="2">
        <v>1459</v>
      </c>
      <c r="W304">
        <v>0</v>
      </c>
      <c r="X304">
        <v>0</v>
      </c>
      <c r="Y304">
        <v>0</v>
      </c>
      <c r="Z304">
        <v>0</v>
      </c>
      <c r="AA304">
        <v>177</v>
      </c>
      <c r="AB304">
        <v>168</v>
      </c>
      <c r="AC304">
        <v>151</v>
      </c>
      <c r="AD304">
        <v>1096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">
      <c r="A305" s="1">
        <v>44056</v>
      </c>
      <c r="B305" s="1" t="str">
        <f>TEXT(flights_sample_3m[[#This Row],[FL_DATE]],"yyyy-mm")</f>
        <v>2020-08</v>
      </c>
      <c r="C305" t="s">
        <v>148</v>
      </c>
      <c r="D305" t="s">
        <v>149</v>
      </c>
      <c r="E305" t="s">
        <v>150</v>
      </c>
      <c r="F305">
        <v>20304</v>
      </c>
      <c r="G305">
        <v>3480</v>
      </c>
      <c r="H305" t="s">
        <v>284</v>
      </c>
      <c r="I305" t="s">
        <v>285</v>
      </c>
      <c r="J305" t="s">
        <v>194</v>
      </c>
      <c r="K305" t="s">
        <v>195</v>
      </c>
      <c r="L305">
        <v>830</v>
      </c>
      <c r="M305" s="2">
        <v>819</v>
      </c>
      <c r="N305">
        <v>-11</v>
      </c>
      <c r="O305" t="str">
        <f>IF(flights_sample_3m[[#This Row],[DEP_DELAY]]&lt;=15,"No delay",IF(flights_sample_3m[[#This Row],[DEP_DELAY]]&lt;=60,"Short Delay","Long Delay"))</f>
        <v>No delay</v>
      </c>
      <c r="P305" t="str">
        <f>IF(flights_sample_3m[[#This Row],[DEP_DELAY]]&lt;=15,"Delayed","On Time")</f>
        <v>Delayed</v>
      </c>
      <c r="Q305">
        <v>8</v>
      </c>
      <c r="R305">
        <v>827</v>
      </c>
      <c r="S305">
        <v>921</v>
      </c>
      <c r="T305">
        <v>2</v>
      </c>
      <c r="U305">
        <v>933</v>
      </c>
      <c r="V305" s="2">
        <v>923</v>
      </c>
      <c r="W305">
        <v>-10</v>
      </c>
      <c r="X305">
        <v>0</v>
      </c>
      <c r="Y305">
        <v>0</v>
      </c>
      <c r="Z305">
        <v>0</v>
      </c>
      <c r="AA305">
        <v>63</v>
      </c>
      <c r="AB305">
        <v>64</v>
      </c>
      <c r="AC305">
        <v>54</v>
      </c>
      <c r="AD305">
        <v>314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">
      <c r="A306" s="1">
        <v>44521</v>
      </c>
      <c r="B306" s="1" t="str">
        <f>TEXT(flights_sample_3m[[#This Row],[FL_DATE]],"yyyy-mm")</f>
        <v>2021-11</v>
      </c>
      <c r="C306" t="s">
        <v>64</v>
      </c>
      <c r="D306" t="s">
        <v>65</v>
      </c>
      <c r="E306" t="s">
        <v>66</v>
      </c>
      <c r="F306">
        <v>19805</v>
      </c>
      <c r="G306">
        <v>1367</v>
      </c>
      <c r="H306" t="s">
        <v>155</v>
      </c>
      <c r="I306" t="s">
        <v>156</v>
      </c>
      <c r="J306" t="s">
        <v>78</v>
      </c>
      <c r="K306" t="s">
        <v>79</v>
      </c>
      <c r="L306">
        <v>1508</v>
      </c>
      <c r="M306" s="2">
        <v>0</v>
      </c>
      <c r="N306">
        <v>0</v>
      </c>
      <c r="O306" t="str">
        <f>IF(flights_sample_3m[[#This Row],[DEP_DELAY]]&lt;=15,"No delay",IF(flights_sample_3m[[#This Row],[DEP_DELAY]]&lt;=60,"Short Delay","Long Delay"))</f>
        <v>No delay</v>
      </c>
      <c r="P306" t="str">
        <f>IF(flights_sample_3m[[#This Row],[DEP_DELAY]]&lt;=15,"Delayed","On Time")</f>
        <v>Delayed</v>
      </c>
      <c r="Q306">
        <v>0</v>
      </c>
      <c r="R306">
        <v>0</v>
      </c>
      <c r="S306">
        <v>0</v>
      </c>
      <c r="T306">
        <v>0</v>
      </c>
      <c r="U306">
        <v>1630</v>
      </c>
      <c r="V306" s="2">
        <v>0</v>
      </c>
      <c r="W306">
        <v>0</v>
      </c>
      <c r="X306">
        <v>1</v>
      </c>
      <c r="Y306" t="s">
        <v>302</v>
      </c>
      <c r="Z306">
        <v>0</v>
      </c>
      <c r="AA306">
        <v>202</v>
      </c>
      <c r="AB306">
        <v>0</v>
      </c>
      <c r="AC306">
        <v>0</v>
      </c>
      <c r="AD306">
        <v>1242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">
      <c r="A307" s="1">
        <v>43823</v>
      </c>
      <c r="B307" s="1" t="str">
        <f>TEXT(flights_sample_3m[[#This Row],[FL_DATE]],"yyyy-mm")</f>
        <v>2019-12</v>
      </c>
      <c r="C307" t="s">
        <v>64</v>
      </c>
      <c r="D307" t="s">
        <v>65</v>
      </c>
      <c r="E307" t="s">
        <v>66</v>
      </c>
      <c r="F307">
        <v>19805</v>
      </c>
      <c r="G307">
        <v>1893</v>
      </c>
      <c r="H307" t="s">
        <v>123</v>
      </c>
      <c r="I307" t="s">
        <v>124</v>
      </c>
      <c r="J307" t="s">
        <v>177</v>
      </c>
      <c r="K307" t="s">
        <v>111</v>
      </c>
      <c r="L307">
        <v>1751</v>
      </c>
      <c r="M307" s="2">
        <v>1747</v>
      </c>
      <c r="N307">
        <v>-4</v>
      </c>
      <c r="O307" t="str">
        <f>IF(flights_sample_3m[[#This Row],[DEP_DELAY]]&lt;=15,"No delay",IF(flights_sample_3m[[#This Row],[DEP_DELAY]]&lt;=60,"Short Delay","Long Delay"))</f>
        <v>No delay</v>
      </c>
      <c r="P307" t="str">
        <f>IF(flights_sample_3m[[#This Row],[DEP_DELAY]]&lt;=15,"Delayed","On Time")</f>
        <v>Delayed</v>
      </c>
      <c r="Q307">
        <v>10</v>
      </c>
      <c r="R307">
        <v>1757</v>
      </c>
      <c r="S307">
        <v>1918</v>
      </c>
      <c r="T307">
        <v>4</v>
      </c>
      <c r="U307">
        <v>1941</v>
      </c>
      <c r="V307" s="2">
        <v>1922</v>
      </c>
      <c r="W307">
        <v>-19</v>
      </c>
      <c r="X307">
        <v>0</v>
      </c>
      <c r="Y307">
        <v>0</v>
      </c>
      <c r="Z307">
        <v>0</v>
      </c>
      <c r="AA307">
        <v>110</v>
      </c>
      <c r="AB307">
        <v>95</v>
      </c>
      <c r="AC307">
        <v>81</v>
      </c>
      <c r="AD307">
        <v>544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">
      <c r="A308" s="1">
        <v>44483</v>
      </c>
      <c r="B308" s="1" t="str">
        <f>TEXT(flights_sample_3m[[#This Row],[FL_DATE]],"yyyy-mm")</f>
        <v>2021-10</v>
      </c>
      <c r="C308" t="s">
        <v>80</v>
      </c>
      <c r="D308" t="s">
        <v>81</v>
      </c>
      <c r="E308" t="s">
        <v>82</v>
      </c>
      <c r="F308">
        <v>19930</v>
      </c>
      <c r="G308">
        <v>61</v>
      </c>
      <c r="H308" t="s">
        <v>349</v>
      </c>
      <c r="I308" t="s">
        <v>350</v>
      </c>
      <c r="J308" t="s">
        <v>351</v>
      </c>
      <c r="K308" t="s">
        <v>352</v>
      </c>
      <c r="L308">
        <v>1216</v>
      </c>
      <c r="M308" s="2">
        <v>1218</v>
      </c>
      <c r="N308">
        <v>2</v>
      </c>
      <c r="O308" t="str">
        <f>IF(flights_sample_3m[[#This Row],[DEP_DELAY]]&lt;=15,"No delay",IF(flights_sample_3m[[#This Row],[DEP_DELAY]]&lt;=60,"Short Delay","Long Delay"))</f>
        <v>No delay</v>
      </c>
      <c r="P308" t="str">
        <f>IF(flights_sample_3m[[#This Row],[DEP_DELAY]]&lt;=15,"Delayed","On Time")</f>
        <v>Delayed</v>
      </c>
      <c r="Q308">
        <v>17</v>
      </c>
      <c r="R308">
        <v>1235</v>
      </c>
      <c r="S308">
        <v>1310</v>
      </c>
      <c r="T308">
        <v>4</v>
      </c>
      <c r="U308">
        <v>1305</v>
      </c>
      <c r="V308" s="2">
        <v>1314</v>
      </c>
      <c r="W308">
        <v>9</v>
      </c>
      <c r="X308">
        <v>0</v>
      </c>
      <c r="Y308">
        <v>0</v>
      </c>
      <c r="Z308">
        <v>0</v>
      </c>
      <c r="AA308">
        <v>49</v>
      </c>
      <c r="AB308">
        <v>56</v>
      </c>
      <c r="AC308">
        <v>35</v>
      </c>
      <c r="AD308">
        <v>213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">
      <c r="A309" s="1">
        <v>44121</v>
      </c>
      <c r="B309" s="1" t="str">
        <f>TEXT(flights_sample_3m[[#This Row],[FL_DATE]],"yyyy-mm")</f>
        <v>2020-10</v>
      </c>
      <c r="C309" t="s">
        <v>57</v>
      </c>
      <c r="D309" t="s">
        <v>58</v>
      </c>
      <c r="E309" t="s">
        <v>59</v>
      </c>
      <c r="F309">
        <v>19393</v>
      </c>
      <c r="G309">
        <v>2056</v>
      </c>
      <c r="H309" t="s">
        <v>157</v>
      </c>
      <c r="I309" t="s">
        <v>158</v>
      </c>
      <c r="J309" t="s">
        <v>85</v>
      </c>
      <c r="K309" t="s">
        <v>86</v>
      </c>
      <c r="L309">
        <v>720</v>
      </c>
      <c r="M309" s="2">
        <v>718</v>
      </c>
      <c r="N309">
        <v>-2</v>
      </c>
      <c r="O309" t="str">
        <f>IF(flights_sample_3m[[#This Row],[DEP_DELAY]]&lt;=15,"No delay",IF(flights_sample_3m[[#This Row],[DEP_DELAY]]&lt;=60,"Short Delay","Long Delay"))</f>
        <v>No delay</v>
      </c>
      <c r="P309" t="str">
        <f>IF(flights_sample_3m[[#This Row],[DEP_DELAY]]&lt;=15,"Delayed","On Time")</f>
        <v>Delayed</v>
      </c>
      <c r="Q309">
        <v>8</v>
      </c>
      <c r="R309">
        <v>726</v>
      </c>
      <c r="S309">
        <v>829</v>
      </c>
      <c r="T309">
        <v>10</v>
      </c>
      <c r="U309">
        <v>855</v>
      </c>
      <c r="V309" s="2">
        <v>839</v>
      </c>
      <c r="W309">
        <v>-16</v>
      </c>
      <c r="X309">
        <v>0</v>
      </c>
      <c r="Y309">
        <v>0</v>
      </c>
      <c r="Z309">
        <v>0</v>
      </c>
      <c r="AA309">
        <v>95</v>
      </c>
      <c r="AB309">
        <v>81</v>
      </c>
      <c r="AC309">
        <v>63</v>
      </c>
      <c r="AD309">
        <v>432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">
      <c r="A310" s="1">
        <v>45055</v>
      </c>
      <c r="B310" s="1" t="str">
        <f>TEXT(flights_sample_3m[[#This Row],[FL_DATE]],"yyyy-mm")</f>
        <v>2023-05</v>
      </c>
      <c r="C310" t="s">
        <v>64</v>
      </c>
      <c r="D310" t="s">
        <v>65</v>
      </c>
      <c r="E310" t="s">
        <v>66</v>
      </c>
      <c r="F310">
        <v>19805</v>
      </c>
      <c r="G310">
        <v>2503</v>
      </c>
      <c r="H310" t="s">
        <v>159</v>
      </c>
      <c r="I310" t="s">
        <v>160</v>
      </c>
      <c r="J310" t="s">
        <v>221</v>
      </c>
      <c r="K310" t="s">
        <v>222</v>
      </c>
      <c r="L310">
        <v>1730</v>
      </c>
      <c r="M310" s="2">
        <v>1852</v>
      </c>
      <c r="N310">
        <v>82</v>
      </c>
      <c r="O310" t="str">
        <f>IF(flights_sample_3m[[#This Row],[DEP_DELAY]]&lt;=15,"No delay",IF(flights_sample_3m[[#This Row],[DEP_DELAY]]&lt;=60,"Short Delay","Long Delay"))</f>
        <v>Long Delay</v>
      </c>
      <c r="P310" t="str">
        <f>IF(flights_sample_3m[[#This Row],[DEP_DELAY]]&lt;=15,"Delayed","On Time")</f>
        <v>On Time</v>
      </c>
      <c r="Q310">
        <v>16</v>
      </c>
      <c r="R310">
        <v>1908</v>
      </c>
      <c r="S310">
        <v>1947</v>
      </c>
      <c r="T310">
        <v>47</v>
      </c>
      <c r="U310">
        <v>1840</v>
      </c>
      <c r="V310" s="2">
        <v>2034</v>
      </c>
      <c r="W310">
        <v>114</v>
      </c>
      <c r="X310">
        <v>0</v>
      </c>
      <c r="Y310">
        <v>0</v>
      </c>
      <c r="Z310">
        <v>0</v>
      </c>
      <c r="AA310">
        <v>70</v>
      </c>
      <c r="AB310">
        <v>102</v>
      </c>
      <c r="AC310">
        <v>39</v>
      </c>
      <c r="AD310">
        <v>204</v>
      </c>
      <c r="AE310">
        <v>3</v>
      </c>
      <c r="AF310">
        <v>0</v>
      </c>
      <c r="AG310">
        <v>32</v>
      </c>
      <c r="AH310">
        <v>0</v>
      </c>
      <c r="AI310">
        <v>79</v>
      </c>
    </row>
    <row r="311" spans="1:35" x14ac:dyDescent="0.3">
      <c r="A311" s="1">
        <v>44095</v>
      </c>
      <c r="B311" s="1" t="str">
        <f>TEXT(flights_sample_3m[[#This Row],[FL_DATE]],"yyyy-mm")</f>
        <v>2020-09</v>
      </c>
      <c r="C311" t="s">
        <v>39</v>
      </c>
      <c r="D311" t="s">
        <v>40</v>
      </c>
      <c r="E311" t="s">
        <v>41</v>
      </c>
      <c r="F311">
        <v>19790</v>
      </c>
      <c r="G311">
        <v>492</v>
      </c>
      <c r="H311" t="s">
        <v>177</v>
      </c>
      <c r="I311" t="s">
        <v>111</v>
      </c>
      <c r="J311" t="s">
        <v>170</v>
      </c>
      <c r="K311" t="s">
        <v>171</v>
      </c>
      <c r="L311">
        <v>935</v>
      </c>
      <c r="M311" s="2">
        <v>930</v>
      </c>
      <c r="N311">
        <v>-5</v>
      </c>
      <c r="O311" t="str">
        <f>IF(flights_sample_3m[[#This Row],[DEP_DELAY]]&lt;=15,"No delay",IF(flights_sample_3m[[#This Row],[DEP_DELAY]]&lt;=60,"Short Delay","Long Delay"))</f>
        <v>No delay</v>
      </c>
      <c r="P311" t="str">
        <f>IF(flights_sample_3m[[#This Row],[DEP_DELAY]]&lt;=15,"Delayed","On Time")</f>
        <v>Delayed</v>
      </c>
      <c r="Q311">
        <v>12</v>
      </c>
      <c r="R311">
        <v>942</v>
      </c>
      <c r="S311">
        <v>1058</v>
      </c>
      <c r="T311">
        <v>8</v>
      </c>
      <c r="U311">
        <v>1138</v>
      </c>
      <c r="V311" s="2">
        <v>1106</v>
      </c>
      <c r="W311">
        <v>-32</v>
      </c>
      <c r="X311">
        <v>0</v>
      </c>
      <c r="Y311">
        <v>0</v>
      </c>
      <c r="Z311">
        <v>0</v>
      </c>
      <c r="AA311">
        <v>123</v>
      </c>
      <c r="AB311">
        <v>96</v>
      </c>
      <c r="AC311">
        <v>76</v>
      </c>
      <c r="AD311">
        <v>502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">
      <c r="A312" s="1">
        <v>44755</v>
      </c>
      <c r="B312" s="1" t="str">
        <f>TEXT(flights_sample_3m[[#This Row],[FL_DATE]],"yyyy-mm")</f>
        <v>2022-07</v>
      </c>
      <c r="C312" t="s">
        <v>57</v>
      </c>
      <c r="D312" t="s">
        <v>58</v>
      </c>
      <c r="E312" t="s">
        <v>59</v>
      </c>
      <c r="F312">
        <v>19393</v>
      </c>
      <c r="G312">
        <v>1936</v>
      </c>
      <c r="H312" t="s">
        <v>78</v>
      </c>
      <c r="I312" t="s">
        <v>79</v>
      </c>
      <c r="J312" t="s">
        <v>233</v>
      </c>
      <c r="K312" t="s">
        <v>234</v>
      </c>
      <c r="L312">
        <v>1210</v>
      </c>
      <c r="M312" s="2">
        <v>1205</v>
      </c>
      <c r="N312">
        <v>-5</v>
      </c>
      <c r="O312" t="str">
        <f>IF(flights_sample_3m[[#This Row],[DEP_DELAY]]&lt;=15,"No delay",IF(flights_sample_3m[[#This Row],[DEP_DELAY]]&lt;=60,"Short Delay","Long Delay"))</f>
        <v>No delay</v>
      </c>
      <c r="P312" t="str">
        <f>IF(flights_sample_3m[[#This Row],[DEP_DELAY]]&lt;=15,"Delayed","On Time")</f>
        <v>Delayed</v>
      </c>
      <c r="Q312">
        <v>11</v>
      </c>
      <c r="R312">
        <v>1216</v>
      </c>
      <c r="S312">
        <v>1306</v>
      </c>
      <c r="T312">
        <v>6</v>
      </c>
      <c r="U312">
        <v>1320</v>
      </c>
      <c r="V312" s="2">
        <v>1312</v>
      </c>
      <c r="W312">
        <v>-8</v>
      </c>
      <c r="X312">
        <v>0</v>
      </c>
      <c r="Y312">
        <v>0</v>
      </c>
      <c r="Z312">
        <v>0</v>
      </c>
      <c r="AA312">
        <v>70</v>
      </c>
      <c r="AB312">
        <v>67</v>
      </c>
      <c r="AC312">
        <v>50</v>
      </c>
      <c r="AD312">
        <v>337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">
      <c r="A313" s="1">
        <v>44460</v>
      </c>
      <c r="B313" s="1" t="str">
        <f>TEXT(flights_sample_3m[[#This Row],[FL_DATE]],"yyyy-mm")</f>
        <v>2021-09</v>
      </c>
      <c r="C313" t="s">
        <v>64</v>
      </c>
      <c r="D313" t="s">
        <v>65</v>
      </c>
      <c r="E313" t="s">
        <v>66</v>
      </c>
      <c r="F313">
        <v>19805</v>
      </c>
      <c r="G313">
        <v>2194</v>
      </c>
      <c r="H313" t="s">
        <v>123</v>
      </c>
      <c r="I313" t="s">
        <v>124</v>
      </c>
      <c r="J313" t="s">
        <v>35</v>
      </c>
      <c r="K313" t="s">
        <v>36</v>
      </c>
      <c r="L313">
        <v>2100</v>
      </c>
      <c r="M313" s="2">
        <v>2056</v>
      </c>
      <c r="N313">
        <v>-4</v>
      </c>
      <c r="O313" t="str">
        <f>IF(flights_sample_3m[[#This Row],[DEP_DELAY]]&lt;=15,"No delay",IF(flights_sample_3m[[#This Row],[DEP_DELAY]]&lt;=60,"Short Delay","Long Delay"))</f>
        <v>No delay</v>
      </c>
      <c r="P313" t="str">
        <f>IF(flights_sample_3m[[#This Row],[DEP_DELAY]]&lt;=15,"Delayed","On Time")</f>
        <v>Delayed</v>
      </c>
      <c r="Q313">
        <v>16</v>
      </c>
      <c r="R313">
        <v>2112</v>
      </c>
      <c r="S313">
        <v>2244</v>
      </c>
      <c r="T313">
        <v>3</v>
      </c>
      <c r="U313">
        <v>2258</v>
      </c>
      <c r="V313" s="2">
        <v>2247</v>
      </c>
      <c r="W313">
        <v>-11</v>
      </c>
      <c r="X313">
        <v>0</v>
      </c>
      <c r="Y313">
        <v>0</v>
      </c>
      <c r="Z313">
        <v>0</v>
      </c>
      <c r="AA313">
        <v>118</v>
      </c>
      <c r="AB313">
        <v>111</v>
      </c>
      <c r="AC313">
        <v>92</v>
      </c>
      <c r="AD313">
        <v>632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">
      <c r="A314" s="1">
        <v>43918</v>
      </c>
      <c r="B314" s="1" t="str">
        <f>TEXT(flights_sample_3m[[#This Row],[FL_DATE]],"yyyy-mm")</f>
        <v>2020-03</v>
      </c>
      <c r="C314" t="s">
        <v>64</v>
      </c>
      <c r="D314" t="s">
        <v>65</v>
      </c>
      <c r="E314" t="s">
        <v>66</v>
      </c>
      <c r="F314">
        <v>19805</v>
      </c>
      <c r="G314">
        <v>2212</v>
      </c>
      <c r="H314" t="s">
        <v>55</v>
      </c>
      <c r="I314" t="s">
        <v>56</v>
      </c>
      <c r="J314" t="s">
        <v>76</v>
      </c>
      <c r="K314" t="s">
        <v>77</v>
      </c>
      <c r="L314">
        <v>1859</v>
      </c>
      <c r="M314" s="2">
        <v>0</v>
      </c>
      <c r="N314">
        <v>0</v>
      </c>
      <c r="O314" t="str">
        <f>IF(flights_sample_3m[[#This Row],[DEP_DELAY]]&lt;=15,"No delay",IF(flights_sample_3m[[#This Row],[DEP_DELAY]]&lt;=60,"Short Delay","Long Delay"))</f>
        <v>No delay</v>
      </c>
      <c r="P314" t="str">
        <f>IF(flights_sample_3m[[#This Row],[DEP_DELAY]]&lt;=15,"Delayed","On Time")</f>
        <v>Delayed</v>
      </c>
      <c r="Q314">
        <v>0</v>
      </c>
      <c r="R314">
        <v>0</v>
      </c>
      <c r="S314">
        <v>0</v>
      </c>
      <c r="T314">
        <v>0</v>
      </c>
      <c r="U314">
        <v>2014</v>
      </c>
      <c r="V314" s="2">
        <v>0</v>
      </c>
      <c r="W314">
        <v>0</v>
      </c>
      <c r="X314">
        <v>1</v>
      </c>
      <c r="Y314" t="s">
        <v>97</v>
      </c>
      <c r="Z314">
        <v>0</v>
      </c>
      <c r="AA314">
        <v>75</v>
      </c>
      <c r="AB314">
        <v>0</v>
      </c>
      <c r="AC314">
        <v>0</v>
      </c>
      <c r="AD314">
        <v>224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">
      <c r="A315" s="1">
        <v>44547</v>
      </c>
      <c r="B315" s="1" t="str">
        <f>TEXT(flights_sample_3m[[#This Row],[FL_DATE]],"yyyy-mm")</f>
        <v>2021-12</v>
      </c>
      <c r="C315" t="s">
        <v>126</v>
      </c>
      <c r="D315" t="s">
        <v>127</v>
      </c>
      <c r="E315" t="s">
        <v>128</v>
      </c>
      <c r="F315">
        <v>20368</v>
      </c>
      <c r="G315">
        <v>259</v>
      </c>
      <c r="H315" t="s">
        <v>129</v>
      </c>
      <c r="I315" t="s">
        <v>130</v>
      </c>
      <c r="J315" t="s">
        <v>353</v>
      </c>
      <c r="K315" t="s">
        <v>354</v>
      </c>
      <c r="L315">
        <v>1820</v>
      </c>
      <c r="M315" s="2">
        <v>1912</v>
      </c>
      <c r="N315">
        <v>52</v>
      </c>
      <c r="O315" t="str">
        <f>IF(flights_sample_3m[[#This Row],[DEP_DELAY]]&lt;=15,"No delay",IF(flights_sample_3m[[#This Row],[DEP_DELAY]]&lt;=60,"Short Delay","Long Delay"))</f>
        <v>Short Delay</v>
      </c>
      <c r="P315" t="str">
        <f>IF(flights_sample_3m[[#This Row],[DEP_DELAY]]&lt;=15,"Delayed","On Time")</f>
        <v>On Time</v>
      </c>
      <c r="Q315">
        <v>15</v>
      </c>
      <c r="R315">
        <v>1927</v>
      </c>
      <c r="S315">
        <v>2227</v>
      </c>
      <c r="T315">
        <v>7</v>
      </c>
      <c r="U315">
        <v>2140</v>
      </c>
      <c r="V315" s="2">
        <v>2234</v>
      </c>
      <c r="W315">
        <v>54</v>
      </c>
      <c r="X315">
        <v>0</v>
      </c>
      <c r="Y315">
        <v>0</v>
      </c>
      <c r="Z315">
        <v>0</v>
      </c>
      <c r="AA315">
        <v>140</v>
      </c>
      <c r="AB315">
        <v>142</v>
      </c>
      <c r="AC315">
        <v>120</v>
      </c>
      <c r="AD315">
        <v>750</v>
      </c>
      <c r="AE315">
        <v>2</v>
      </c>
      <c r="AF315">
        <v>0</v>
      </c>
      <c r="AG315">
        <v>2</v>
      </c>
      <c r="AH315">
        <v>0</v>
      </c>
      <c r="AI315">
        <v>50</v>
      </c>
    </row>
    <row r="316" spans="1:35" x14ac:dyDescent="0.3">
      <c r="A316" s="1">
        <v>44984</v>
      </c>
      <c r="B316" s="1" t="str">
        <f>TEXT(flights_sample_3m[[#This Row],[FL_DATE]],"yyyy-mm")</f>
        <v>2023-02</v>
      </c>
      <c r="C316" t="s">
        <v>64</v>
      </c>
      <c r="D316" t="s">
        <v>65</v>
      </c>
      <c r="E316" t="s">
        <v>66</v>
      </c>
      <c r="F316">
        <v>19805</v>
      </c>
      <c r="G316">
        <v>2456</v>
      </c>
      <c r="H316" t="s">
        <v>157</v>
      </c>
      <c r="I316" t="s">
        <v>158</v>
      </c>
      <c r="J316" t="s">
        <v>55</v>
      </c>
      <c r="K316" t="s">
        <v>56</v>
      </c>
      <c r="L316">
        <v>1803</v>
      </c>
      <c r="M316" s="2">
        <v>1801</v>
      </c>
      <c r="N316">
        <v>-2</v>
      </c>
      <c r="O316" t="str">
        <f>IF(flights_sample_3m[[#This Row],[DEP_DELAY]]&lt;=15,"No delay",IF(flights_sample_3m[[#This Row],[DEP_DELAY]]&lt;=60,"Short Delay","Long Delay"))</f>
        <v>No delay</v>
      </c>
      <c r="P316" t="str">
        <f>IF(flights_sample_3m[[#This Row],[DEP_DELAY]]&lt;=15,"Delayed","On Time")</f>
        <v>Delayed</v>
      </c>
      <c r="Q316">
        <v>12</v>
      </c>
      <c r="R316">
        <v>1813</v>
      </c>
      <c r="S316">
        <v>1905</v>
      </c>
      <c r="T316">
        <v>18</v>
      </c>
      <c r="U316">
        <v>1936</v>
      </c>
      <c r="V316" s="2">
        <v>1923</v>
      </c>
      <c r="W316">
        <v>-13</v>
      </c>
      <c r="X316">
        <v>0</v>
      </c>
      <c r="Y316">
        <v>0</v>
      </c>
      <c r="Z316">
        <v>0</v>
      </c>
      <c r="AA316">
        <v>153</v>
      </c>
      <c r="AB316">
        <v>142</v>
      </c>
      <c r="AC316">
        <v>112</v>
      </c>
      <c r="AD316">
        <v>761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">
      <c r="A317" s="1">
        <v>43782</v>
      </c>
      <c r="B317" s="1" t="str">
        <f>TEXT(flights_sample_3m[[#This Row],[FL_DATE]],"yyyy-mm")</f>
        <v>2019-11</v>
      </c>
      <c r="C317" t="s">
        <v>32</v>
      </c>
      <c r="D317" t="s">
        <v>33</v>
      </c>
      <c r="E317" t="s">
        <v>34</v>
      </c>
      <c r="F317">
        <v>19977</v>
      </c>
      <c r="G317">
        <v>433</v>
      </c>
      <c r="H317" t="s">
        <v>48</v>
      </c>
      <c r="I317" t="s">
        <v>49</v>
      </c>
      <c r="J317" t="s">
        <v>78</v>
      </c>
      <c r="K317" t="s">
        <v>79</v>
      </c>
      <c r="L317">
        <v>1252</v>
      </c>
      <c r="M317" s="2">
        <v>1248</v>
      </c>
      <c r="N317">
        <v>-4</v>
      </c>
      <c r="O317" t="str">
        <f>IF(flights_sample_3m[[#This Row],[DEP_DELAY]]&lt;=15,"No delay",IF(flights_sample_3m[[#This Row],[DEP_DELAY]]&lt;=60,"Short Delay","Long Delay"))</f>
        <v>No delay</v>
      </c>
      <c r="P317" t="str">
        <f>IF(flights_sample_3m[[#This Row],[DEP_DELAY]]&lt;=15,"Delayed","On Time")</f>
        <v>Delayed</v>
      </c>
      <c r="Q317">
        <v>31</v>
      </c>
      <c r="R317">
        <v>1319</v>
      </c>
      <c r="S317">
        <v>1413</v>
      </c>
      <c r="T317">
        <v>14</v>
      </c>
      <c r="U317">
        <v>1426</v>
      </c>
      <c r="V317" s="2">
        <v>1427</v>
      </c>
      <c r="W317">
        <v>1</v>
      </c>
      <c r="X317">
        <v>0</v>
      </c>
      <c r="Y317">
        <v>0</v>
      </c>
      <c r="Z317">
        <v>0</v>
      </c>
      <c r="AA317">
        <v>94</v>
      </c>
      <c r="AB317">
        <v>99</v>
      </c>
      <c r="AC317">
        <v>54</v>
      </c>
      <c r="AD317">
        <v>337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">
      <c r="A318" s="1">
        <v>44025</v>
      </c>
      <c r="B318" s="1" t="str">
        <f>TEXT(flights_sample_3m[[#This Row],[FL_DATE]],"yyyy-mm")</f>
        <v>2020-07</v>
      </c>
      <c r="C318" t="s">
        <v>167</v>
      </c>
      <c r="D318" t="s">
        <v>168</v>
      </c>
      <c r="E318" t="s">
        <v>169</v>
      </c>
      <c r="F318">
        <v>20363</v>
      </c>
      <c r="G318">
        <v>4907</v>
      </c>
      <c r="H318" t="s">
        <v>85</v>
      </c>
      <c r="I318" t="s">
        <v>86</v>
      </c>
      <c r="J318" t="s">
        <v>298</v>
      </c>
      <c r="K318" t="s">
        <v>299</v>
      </c>
      <c r="L318">
        <v>1535</v>
      </c>
      <c r="M318" s="2">
        <v>1534</v>
      </c>
      <c r="N318">
        <v>-1</v>
      </c>
      <c r="O318" t="str">
        <f>IF(flights_sample_3m[[#This Row],[DEP_DELAY]]&lt;=15,"No delay",IF(flights_sample_3m[[#This Row],[DEP_DELAY]]&lt;=60,"Short Delay","Long Delay"))</f>
        <v>No delay</v>
      </c>
      <c r="P318" t="str">
        <f>IF(flights_sample_3m[[#This Row],[DEP_DELAY]]&lt;=15,"Delayed","On Time")</f>
        <v>Delayed</v>
      </c>
      <c r="Q318">
        <v>10</v>
      </c>
      <c r="R318">
        <v>1544</v>
      </c>
      <c r="S318">
        <v>1536</v>
      </c>
      <c r="T318">
        <v>4</v>
      </c>
      <c r="U318">
        <v>1551</v>
      </c>
      <c r="V318" s="2">
        <v>1540</v>
      </c>
      <c r="W318">
        <v>-11</v>
      </c>
      <c r="X318">
        <v>0</v>
      </c>
      <c r="Y318">
        <v>0</v>
      </c>
      <c r="Z318">
        <v>0</v>
      </c>
      <c r="AA318">
        <v>76</v>
      </c>
      <c r="AB318">
        <v>66</v>
      </c>
      <c r="AC318">
        <v>52</v>
      </c>
      <c r="AD318">
        <v>302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">
      <c r="A319" s="1">
        <v>43738</v>
      </c>
      <c r="B319" s="1" t="str">
        <f>TEXT(flights_sample_3m[[#This Row],[FL_DATE]],"yyyy-mm")</f>
        <v>2019-09</v>
      </c>
      <c r="C319" t="s">
        <v>64</v>
      </c>
      <c r="D319" t="s">
        <v>65</v>
      </c>
      <c r="E319" t="s">
        <v>66</v>
      </c>
      <c r="F319">
        <v>19805</v>
      </c>
      <c r="G319">
        <v>1507</v>
      </c>
      <c r="H319" t="s">
        <v>78</v>
      </c>
      <c r="I319" t="s">
        <v>79</v>
      </c>
      <c r="J319" t="s">
        <v>123</v>
      </c>
      <c r="K319" t="s">
        <v>124</v>
      </c>
      <c r="L319">
        <v>1130</v>
      </c>
      <c r="M319" s="2">
        <v>1212</v>
      </c>
      <c r="N319">
        <v>42</v>
      </c>
      <c r="O319" t="str">
        <f>IF(flights_sample_3m[[#This Row],[DEP_DELAY]]&lt;=15,"No delay",IF(flights_sample_3m[[#This Row],[DEP_DELAY]]&lt;=60,"Short Delay","Long Delay"))</f>
        <v>Short Delay</v>
      </c>
      <c r="P319" t="str">
        <f>IF(flights_sample_3m[[#This Row],[DEP_DELAY]]&lt;=15,"Delayed","On Time")</f>
        <v>On Time</v>
      </c>
      <c r="Q319">
        <v>17</v>
      </c>
      <c r="R319">
        <v>1229</v>
      </c>
      <c r="S319">
        <v>1934</v>
      </c>
      <c r="T319">
        <v>7</v>
      </c>
      <c r="U319">
        <v>1920</v>
      </c>
      <c r="V319" s="2">
        <v>1941</v>
      </c>
      <c r="W319">
        <v>21</v>
      </c>
      <c r="X319">
        <v>0</v>
      </c>
      <c r="Y319">
        <v>0</v>
      </c>
      <c r="Z319">
        <v>0</v>
      </c>
      <c r="AA319">
        <v>290</v>
      </c>
      <c r="AB319">
        <v>269</v>
      </c>
      <c r="AC319">
        <v>245</v>
      </c>
      <c r="AD319">
        <v>2125</v>
      </c>
      <c r="AE319">
        <v>0</v>
      </c>
      <c r="AF319">
        <v>0</v>
      </c>
      <c r="AG319">
        <v>0</v>
      </c>
      <c r="AH319">
        <v>0</v>
      </c>
      <c r="AI319">
        <v>21</v>
      </c>
    </row>
    <row r="320" spans="1:35" x14ac:dyDescent="0.3">
      <c r="A320" s="1">
        <v>44658</v>
      </c>
      <c r="B320" s="1" t="str">
        <f>TEXT(flights_sample_3m[[#This Row],[FL_DATE]],"yyyy-mm")</f>
        <v>2022-04</v>
      </c>
      <c r="C320" t="s">
        <v>32</v>
      </c>
      <c r="D320" t="s">
        <v>33</v>
      </c>
      <c r="E320" t="s">
        <v>34</v>
      </c>
      <c r="F320">
        <v>19977</v>
      </c>
      <c r="G320">
        <v>1663</v>
      </c>
      <c r="H320" t="s">
        <v>37</v>
      </c>
      <c r="I320" t="s">
        <v>38</v>
      </c>
      <c r="J320" t="s">
        <v>69</v>
      </c>
      <c r="K320" t="s">
        <v>70</v>
      </c>
      <c r="L320">
        <v>1157</v>
      </c>
      <c r="M320" s="2">
        <v>1157</v>
      </c>
      <c r="N320">
        <v>0</v>
      </c>
      <c r="O320" t="str">
        <f>IF(flights_sample_3m[[#This Row],[DEP_DELAY]]&lt;=15,"No delay",IF(flights_sample_3m[[#This Row],[DEP_DELAY]]&lt;=60,"Short Delay","Long Delay"))</f>
        <v>No delay</v>
      </c>
      <c r="P320" t="str">
        <f>IF(flights_sample_3m[[#This Row],[DEP_DELAY]]&lt;=15,"Delayed","On Time")</f>
        <v>Delayed</v>
      </c>
      <c r="Q320">
        <v>16</v>
      </c>
      <c r="R320">
        <v>1213</v>
      </c>
      <c r="S320">
        <v>1249</v>
      </c>
      <c r="T320">
        <v>7</v>
      </c>
      <c r="U320">
        <v>1305</v>
      </c>
      <c r="V320" s="2">
        <v>1256</v>
      </c>
      <c r="W320">
        <v>-9</v>
      </c>
      <c r="X320">
        <v>0</v>
      </c>
      <c r="Y320">
        <v>0</v>
      </c>
      <c r="Z320">
        <v>0</v>
      </c>
      <c r="AA320">
        <v>68</v>
      </c>
      <c r="AB320">
        <v>59</v>
      </c>
      <c r="AC320">
        <v>36</v>
      </c>
      <c r="AD320">
        <v>200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">
      <c r="A321" s="1">
        <v>44284</v>
      </c>
      <c r="B321" s="1" t="str">
        <f>TEXT(flights_sample_3m[[#This Row],[FL_DATE]],"yyyy-mm")</f>
        <v>2021-03</v>
      </c>
      <c r="C321" t="s">
        <v>32</v>
      </c>
      <c r="D321" t="s">
        <v>33</v>
      </c>
      <c r="E321" t="s">
        <v>34</v>
      </c>
      <c r="F321">
        <v>19977</v>
      </c>
      <c r="G321">
        <v>2463</v>
      </c>
      <c r="H321" t="s">
        <v>46</v>
      </c>
      <c r="I321" t="s">
        <v>47</v>
      </c>
      <c r="J321" t="s">
        <v>35</v>
      </c>
      <c r="K321" t="s">
        <v>36</v>
      </c>
      <c r="L321">
        <v>1750</v>
      </c>
      <c r="M321" s="2">
        <v>1827</v>
      </c>
      <c r="N321">
        <v>37</v>
      </c>
      <c r="O321" t="str">
        <f>IF(flights_sample_3m[[#This Row],[DEP_DELAY]]&lt;=15,"No delay",IF(flights_sample_3m[[#This Row],[DEP_DELAY]]&lt;=60,"Short Delay","Long Delay"))</f>
        <v>Short Delay</v>
      </c>
      <c r="P321" t="str">
        <f>IF(flights_sample_3m[[#This Row],[DEP_DELAY]]&lt;=15,"Delayed","On Time")</f>
        <v>On Time</v>
      </c>
      <c r="Q321">
        <v>20</v>
      </c>
      <c r="R321">
        <v>1847</v>
      </c>
      <c r="S321">
        <v>3</v>
      </c>
      <c r="T321">
        <v>4</v>
      </c>
      <c r="U321">
        <v>2344</v>
      </c>
      <c r="V321" s="2">
        <v>7</v>
      </c>
      <c r="W321">
        <v>23</v>
      </c>
      <c r="X321">
        <v>0</v>
      </c>
      <c r="Y321">
        <v>0</v>
      </c>
      <c r="Z321">
        <v>0</v>
      </c>
      <c r="AA321">
        <v>234</v>
      </c>
      <c r="AB321">
        <v>220</v>
      </c>
      <c r="AC321">
        <v>196</v>
      </c>
      <c r="AD321">
        <v>1703</v>
      </c>
      <c r="AE321">
        <v>3</v>
      </c>
      <c r="AF321">
        <v>0</v>
      </c>
      <c r="AG321">
        <v>0</v>
      </c>
      <c r="AH321">
        <v>0</v>
      </c>
      <c r="AI321">
        <v>20</v>
      </c>
    </row>
    <row r="322" spans="1:35" x14ac:dyDescent="0.3">
      <c r="A322" s="1">
        <v>44989</v>
      </c>
      <c r="B322" s="1" t="str">
        <f>TEXT(flights_sample_3m[[#This Row],[FL_DATE]],"yyyy-mm")</f>
        <v>2023-03</v>
      </c>
      <c r="C322" t="s">
        <v>39</v>
      </c>
      <c r="D322" t="s">
        <v>40</v>
      </c>
      <c r="E322" t="s">
        <v>41</v>
      </c>
      <c r="F322">
        <v>19790</v>
      </c>
      <c r="G322">
        <v>540</v>
      </c>
      <c r="H322" t="s">
        <v>69</v>
      </c>
      <c r="I322" t="s">
        <v>70</v>
      </c>
      <c r="J322" t="s">
        <v>85</v>
      </c>
      <c r="K322" t="s">
        <v>86</v>
      </c>
      <c r="L322">
        <v>815</v>
      </c>
      <c r="M322" s="2">
        <v>917</v>
      </c>
      <c r="N322">
        <v>62</v>
      </c>
      <c r="O322" t="str">
        <f>IF(flights_sample_3m[[#This Row],[DEP_DELAY]]&lt;=15,"No delay",IF(flights_sample_3m[[#This Row],[DEP_DELAY]]&lt;=60,"Short Delay","Long Delay"))</f>
        <v>Long Delay</v>
      </c>
      <c r="P322" t="str">
        <f>IF(flights_sample_3m[[#This Row],[DEP_DELAY]]&lt;=15,"Delayed","On Time")</f>
        <v>On Time</v>
      </c>
      <c r="Q322">
        <v>13</v>
      </c>
      <c r="R322">
        <v>930</v>
      </c>
      <c r="S322">
        <v>1156</v>
      </c>
      <c r="T322">
        <v>6</v>
      </c>
      <c r="U322">
        <v>1123</v>
      </c>
      <c r="V322" s="2">
        <v>1202</v>
      </c>
      <c r="W322">
        <v>39</v>
      </c>
      <c r="X322">
        <v>0</v>
      </c>
      <c r="Y322">
        <v>0</v>
      </c>
      <c r="Z322">
        <v>0</v>
      </c>
      <c r="AA322">
        <v>188</v>
      </c>
      <c r="AB322">
        <v>165</v>
      </c>
      <c r="AC322">
        <v>146</v>
      </c>
      <c r="AD322">
        <v>946</v>
      </c>
      <c r="AE322">
        <v>0</v>
      </c>
      <c r="AF322">
        <v>39</v>
      </c>
      <c r="AG322">
        <v>0</v>
      </c>
      <c r="AH322">
        <v>0</v>
      </c>
      <c r="AI322">
        <v>0</v>
      </c>
    </row>
    <row r="323" spans="1:35" x14ac:dyDescent="0.3">
      <c r="A323" s="1">
        <v>44298</v>
      </c>
      <c r="B323" s="1" t="str">
        <f>TEXT(flights_sample_3m[[#This Row],[FL_DATE]],"yyyy-mm")</f>
        <v>2021-04</v>
      </c>
      <c r="C323" t="s">
        <v>39</v>
      </c>
      <c r="D323" t="s">
        <v>40</v>
      </c>
      <c r="E323" t="s">
        <v>41</v>
      </c>
      <c r="F323">
        <v>19790</v>
      </c>
      <c r="G323">
        <v>985</v>
      </c>
      <c r="H323" t="s">
        <v>67</v>
      </c>
      <c r="I323" t="s">
        <v>68</v>
      </c>
      <c r="J323" t="s">
        <v>110</v>
      </c>
      <c r="K323" t="s">
        <v>111</v>
      </c>
      <c r="L323">
        <v>1712</v>
      </c>
      <c r="M323" s="2">
        <v>1746</v>
      </c>
      <c r="N323">
        <v>34</v>
      </c>
      <c r="O323" t="str">
        <f>IF(flights_sample_3m[[#This Row],[DEP_DELAY]]&lt;=15,"No delay",IF(flights_sample_3m[[#This Row],[DEP_DELAY]]&lt;=60,"Short Delay","Long Delay"))</f>
        <v>Short Delay</v>
      </c>
      <c r="P323" t="str">
        <f>IF(flights_sample_3m[[#This Row],[DEP_DELAY]]&lt;=15,"Delayed","On Time")</f>
        <v>On Time</v>
      </c>
      <c r="Q323">
        <v>9</v>
      </c>
      <c r="R323">
        <v>1755</v>
      </c>
      <c r="S323">
        <v>1837</v>
      </c>
      <c r="T323">
        <v>32</v>
      </c>
      <c r="U323">
        <v>1845</v>
      </c>
      <c r="V323" s="2">
        <v>1909</v>
      </c>
      <c r="W323">
        <v>24</v>
      </c>
      <c r="X323">
        <v>0</v>
      </c>
      <c r="Y323">
        <v>0</v>
      </c>
      <c r="Z323">
        <v>0</v>
      </c>
      <c r="AA323">
        <v>93</v>
      </c>
      <c r="AB323">
        <v>83</v>
      </c>
      <c r="AC323">
        <v>42</v>
      </c>
      <c r="AD323">
        <v>213</v>
      </c>
      <c r="AE323">
        <v>24</v>
      </c>
      <c r="AF323">
        <v>0</v>
      </c>
      <c r="AG323">
        <v>0</v>
      </c>
      <c r="AH323">
        <v>0</v>
      </c>
      <c r="AI323">
        <v>0</v>
      </c>
    </row>
    <row r="324" spans="1:35" x14ac:dyDescent="0.3">
      <c r="A324" s="1">
        <v>43847</v>
      </c>
      <c r="B324" s="1" t="str">
        <f>TEXT(flights_sample_3m[[#This Row],[FL_DATE]],"yyyy-mm")</f>
        <v>2020-01</v>
      </c>
      <c r="C324" t="s">
        <v>148</v>
      </c>
      <c r="D324" t="s">
        <v>149</v>
      </c>
      <c r="E324" t="s">
        <v>150</v>
      </c>
      <c r="F324">
        <v>20304</v>
      </c>
      <c r="G324">
        <v>5708</v>
      </c>
      <c r="H324" t="s">
        <v>48</v>
      </c>
      <c r="I324" t="s">
        <v>49</v>
      </c>
      <c r="J324" t="s">
        <v>151</v>
      </c>
      <c r="K324" t="s">
        <v>152</v>
      </c>
      <c r="L324">
        <v>1415</v>
      </c>
      <c r="M324" s="2">
        <v>1440</v>
      </c>
      <c r="N324">
        <v>25</v>
      </c>
      <c r="O324" t="str">
        <f>IF(flights_sample_3m[[#This Row],[DEP_DELAY]]&lt;=15,"No delay",IF(flights_sample_3m[[#This Row],[DEP_DELAY]]&lt;=60,"Short Delay","Long Delay"))</f>
        <v>Short Delay</v>
      </c>
      <c r="P324" t="str">
        <f>IF(flights_sample_3m[[#This Row],[DEP_DELAY]]&lt;=15,"Delayed","On Time")</f>
        <v>On Time</v>
      </c>
      <c r="Q324">
        <v>24</v>
      </c>
      <c r="R324">
        <v>1504</v>
      </c>
      <c r="S324">
        <v>1717</v>
      </c>
      <c r="T324">
        <v>2</v>
      </c>
      <c r="U324">
        <v>1705</v>
      </c>
      <c r="V324" s="2">
        <v>1719</v>
      </c>
      <c r="W324">
        <v>14</v>
      </c>
      <c r="X324">
        <v>0</v>
      </c>
      <c r="Y324">
        <v>0</v>
      </c>
      <c r="Z324">
        <v>0</v>
      </c>
      <c r="AA324">
        <v>110</v>
      </c>
      <c r="AB324">
        <v>99</v>
      </c>
      <c r="AC324">
        <v>73</v>
      </c>
      <c r="AD324">
        <v>522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">
      <c r="A325" s="1">
        <v>43798</v>
      </c>
      <c r="B325" s="1" t="str">
        <f>TEXT(flights_sample_3m[[#This Row],[FL_DATE]],"yyyy-mm")</f>
        <v>2019-11</v>
      </c>
      <c r="C325" t="s">
        <v>198</v>
      </c>
      <c r="D325" t="s">
        <v>199</v>
      </c>
      <c r="E325" t="s">
        <v>200</v>
      </c>
      <c r="F325">
        <v>20378</v>
      </c>
      <c r="G325">
        <v>6096</v>
      </c>
      <c r="H325" t="s">
        <v>76</v>
      </c>
      <c r="I325" t="s">
        <v>77</v>
      </c>
      <c r="J325" t="s">
        <v>62</v>
      </c>
      <c r="K325" t="s">
        <v>63</v>
      </c>
      <c r="L325">
        <v>1805</v>
      </c>
      <c r="M325" s="2">
        <v>1814</v>
      </c>
      <c r="N325">
        <v>9</v>
      </c>
      <c r="O325" t="str">
        <f>IF(flights_sample_3m[[#This Row],[DEP_DELAY]]&lt;=15,"No delay",IF(flights_sample_3m[[#This Row],[DEP_DELAY]]&lt;=60,"Short Delay","Long Delay"))</f>
        <v>No delay</v>
      </c>
      <c r="P325" t="str">
        <f>IF(flights_sample_3m[[#This Row],[DEP_DELAY]]&lt;=15,"Delayed","On Time")</f>
        <v>Delayed</v>
      </c>
      <c r="Q325">
        <v>30</v>
      </c>
      <c r="R325">
        <v>1844</v>
      </c>
      <c r="S325">
        <v>1954</v>
      </c>
      <c r="T325">
        <v>3</v>
      </c>
      <c r="U325">
        <v>1940</v>
      </c>
      <c r="V325" s="2">
        <v>1957</v>
      </c>
      <c r="W325">
        <v>17</v>
      </c>
      <c r="X325">
        <v>0</v>
      </c>
      <c r="Y325">
        <v>0</v>
      </c>
      <c r="Z325">
        <v>0</v>
      </c>
      <c r="AA325">
        <v>95</v>
      </c>
      <c r="AB325">
        <v>103</v>
      </c>
      <c r="AC325">
        <v>70</v>
      </c>
      <c r="AD325">
        <v>395</v>
      </c>
      <c r="AE325">
        <v>17</v>
      </c>
      <c r="AF325">
        <v>0</v>
      </c>
      <c r="AG325">
        <v>0</v>
      </c>
      <c r="AH325">
        <v>0</v>
      </c>
      <c r="AI325">
        <v>0</v>
      </c>
    </row>
    <row r="326" spans="1:35" x14ac:dyDescent="0.3">
      <c r="A326" s="1">
        <v>44778</v>
      </c>
      <c r="B326" s="1" t="str">
        <f>TEXT(flights_sample_3m[[#This Row],[FL_DATE]],"yyyy-mm")</f>
        <v>2022-08</v>
      </c>
      <c r="C326" t="s">
        <v>39</v>
      </c>
      <c r="D326" t="s">
        <v>40</v>
      </c>
      <c r="E326" t="s">
        <v>41</v>
      </c>
      <c r="F326">
        <v>19790</v>
      </c>
      <c r="G326">
        <v>382</v>
      </c>
      <c r="H326" t="s">
        <v>305</v>
      </c>
      <c r="I326" t="s">
        <v>306</v>
      </c>
      <c r="J326" t="s">
        <v>85</v>
      </c>
      <c r="K326" t="s">
        <v>86</v>
      </c>
      <c r="L326">
        <v>700</v>
      </c>
      <c r="M326" s="2">
        <v>657</v>
      </c>
      <c r="N326">
        <v>-3</v>
      </c>
      <c r="O326" t="str">
        <f>IF(flights_sample_3m[[#This Row],[DEP_DELAY]]&lt;=15,"No delay",IF(flights_sample_3m[[#This Row],[DEP_DELAY]]&lt;=60,"Short Delay","Long Delay"))</f>
        <v>No delay</v>
      </c>
      <c r="P326" t="str">
        <f>IF(flights_sample_3m[[#This Row],[DEP_DELAY]]&lt;=15,"Delayed","On Time")</f>
        <v>Delayed</v>
      </c>
      <c r="Q326">
        <v>10</v>
      </c>
      <c r="R326">
        <v>707</v>
      </c>
      <c r="S326">
        <v>731</v>
      </c>
      <c r="T326">
        <v>5</v>
      </c>
      <c r="U326">
        <v>745</v>
      </c>
      <c r="V326" s="2">
        <v>736</v>
      </c>
      <c r="W326">
        <v>-9</v>
      </c>
      <c r="X326">
        <v>0</v>
      </c>
      <c r="Y326">
        <v>0</v>
      </c>
      <c r="Z326">
        <v>0</v>
      </c>
      <c r="AA326">
        <v>45</v>
      </c>
      <c r="AB326">
        <v>39</v>
      </c>
      <c r="AC326">
        <v>24</v>
      </c>
      <c r="AD326">
        <v>106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">
      <c r="A327" s="1">
        <v>44163</v>
      </c>
      <c r="B327" s="1" t="str">
        <f>TEXT(flights_sample_3m[[#This Row],[FL_DATE]],"yyyy-mm")</f>
        <v>2020-11</v>
      </c>
      <c r="C327" t="s">
        <v>39</v>
      </c>
      <c r="D327" t="s">
        <v>40</v>
      </c>
      <c r="E327" t="s">
        <v>41</v>
      </c>
      <c r="F327">
        <v>19790</v>
      </c>
      <c r="G327">
        <v>2312</v>
      </c>
      <c r="H327" t="s">
        <v>85</v>
      </c>
      <c r="I327" t="s">
        <v>86</v>
      </c>
      <c r="J327" t="s">
        <v>104</v>
      </c>
      <c r="K327" t="s">
        <v>105</v>
      </c>
      <c r="L327">
        <v>1945</v>
      </c>
      <c r="M327" s="2">
        <v>1943</v>
      </c>
      <c r="N327">
        <v>-2</v>
      </c>
      <c r="O327" t="str">
        <f>IF(flights_sample_3m[[#This Row],[DEP_DELAY]]&lt;=15,"No delay",IF(flights_sample_3m[[#This Row],[DEP_DELAY]]&lt;=60,"Short Delay","Long Delay"))</f>
        <v>No delay</v>
      </c>
      <c r="P327" t="str">
        <f>IF(flights_sample_3m[[#This Row],[DEP_DELAY]]&lt;=15,"Delayed","On Time")</f>
        <v>Delayed</v>
      </c>
      <c r="Q327">
        <v>10</v>
      </c>
      <c r="R327">
        <v>1953</v>
      </c>
      <c r="S327">
        <v>2055</v>
      </c>
      <c r="T327">
        <v>4</v>
      </c>
      <c r="U327">
        <v>2110</v>
      </c>
      <c r="V327" s="2">
        <v>2059</v>
      </c>
      <c r="W327">
        <v>-11</v>
      </c>
      <c r="X327">
        <v>0</v>
      </c>
      <c r="Y327">
        <v>0</v>
      </c>
      <c r="Z327">
        <v>0</v>
      </c>
      <c r="AA327">
        <v>85</v>
      </c>
      <c r="AB327">
        <v>76</v>
      </c>
      <c r="AC327">
        <v>62</v>
      </c>
      <c r="AD327">
        <v>444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">
      <c r="A328" s="1">
        <v>43759</v>
      </c>
      <c r="B328" s="1" t="str">
        <f>TEXT(flights_sample_3m[[#This Row],[FL_DATE]],"yyyy-mm")</f>
        <v>2019-10</v>
      </c>
      <c r="C328" t="s">
        <v>57</v>
      </c>
      <c r="D328" t="s">
        <v>58</v>
      </c>
      <c r="E328" t="s">
        <v>59</v>
      </c>
      <c r="F328">
        <v>19393</v>
      </c>
      <c r="G328">
        <v>1291</v>
      </c>
      <c r="H328" t="s">
        <v>194</v>
      </c>
      <c r="I328" t="s">
        <v>195</v>
      </c>
      <c r="J328" t="s">
        <v>129</v>
      </c>
      <c r="K328" t="s">
        <v>130</v>
      </c>
      <c r="L328">
        <v>1230</v>
      </c>
      <c r="M328" s="2">
        <v>1234</v>
      </c>
      <c r="N328">
        <v>4</v>
      </c>
      <c r="O328" t="str">
        <f>IF(flights_sample_3m[[#This Row],[DEP_DELAY]]&lt;=15,"No delay",IF(flights_sample_3m[[#This Row],[DEP_DELAY]]&lt;=60,"Short Delay","Long Delay"))</f>
        <v>No delay</v>
      </c>
      <c r="P328" t="str">
        <f>IF(flights_sample_3m[[#This Row],[DEP_DELAY]]&lt;=15,"Delayed","On Time")</f>
        <v>Delayed</v>
      </c>
      <c r="Q328">
        <v>13</v>
      </c>
      <c r="R328">
        <v>1247</v>
      </c>
      <c r="S328">
        <v>1335</v>
      </c>
      <c r="T328">
        <v>13</v>
      </c>
      <c r="U328">
        <v>1350</v>
      </c>
      <c r="V328" s="2">
        <v>1348</v>
      </c>
      <c r="W328">
        <v>-2</v>
      </c>
      <c r="X328">
        <v>0</v>
      </c>
      <c r="Y328">
        <v>0</v>
      </c>
      <c r="Z328">
        <v>0</v>
      </c>
      <c r="AA328">
        <v>80</v>
      </c>
      <c r="AB328">
        <v>74</v>
      </c>
      <c r="AC328">
        <v>48</v>
      </c>
      <c r="AD328">
        <v>258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">
      <c r="A329" s="1">
        <v>44679</v>
      </c>
      <c r="B329" s="1" t="str">
        <f>TEXT(flights_sample_3m[[#This Row],[FL_DATE]],"yyyy-mm")</f>
        <v>2022-04</v>
      </c>
      <c r="C329" t="s">
        <v>182</v>
      </c>
      <c r="D329" t="s">
        <v>183</v>
      </c>
      <c r="E329" t="s">
        <v>184</v>
      </c>
      <c r="F329">
        <v>20398</v>
      </c>
      <c r="G329">
        <v>3615</v>
      </c>
      <c r="H329" t="s">
        <v>272</v>
      </c>
      <c r="I329" t="s">
        <v>273</v>
      </c>
      <c r="J329" t="s">
        <v>106</v>
      </c>
      <c r="K329" t="s">
        <v>92</v>
      </c>
      <c r="L329">
        <v>1624</v>
      </c>
      <c r="M329" s="2">
        <v>1629</v>
      </c>
      <c r="N329">
        <v>5</v>
      </c>
      <c r="O329" t="str">
        <f>IF(flights_sample_3m[[#This Row],[DEP_DELAY]]&lt;=15,"No delay",IF(flights_sample_3m[[#This Row],[DEP_DELAY]]&lt;=60,"Short Delay","Long Delay"))</f>
        <v>No delay</v>
      </c>
      <c r="P329" t="str">
        <f>IF(flights_sample_3m[[#This Row],[DEP_DELAY]]&lt;=15,"Delayed","On Time")</f>
        <v>Delayed</v>
      </c>
      <c r="Q329">
        <v>12</v>
      </c>
      <c r="R329">
        <v>1641</v>
      </c>
      <c r="S329">
        <v>1720</v>
      </c>
      <c r="T329">
        <v>10</v>
      </c>
      <c r="U329">
        <v>1734</v>
      </c>
      <c r="V329" s="2">
        <v>1730</v>
      </c>
      <c r="W329">
        <v>-4</v>
      </c>
      <c r="X329">
        <v>0</v>
      </c>
      <c r="Y329">
        <v>0</v>
      </c>
      <c r="Z329">
        <v>0</v>
      </c>
      <c r="AA329">
        <v>70</v>
      </c>
      <c r="AB329">
        <v>61</v>
      </c>
      <c r="AC329">
        <v>39</v>
      </c>
      <c r="AD329">
        <v>196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">
      <c r="A330" s="1">
        <v>44487</v>
      </c>
      <c r="B330" s="1" t="str">
        <f>TEXT(flights_sample_3m[[#This Row],[FL_DATE]],"yyyy-mm")</f>
        <v>2021-10</v>
      </c>
      <c r="C330" t="s">
        <v>198</v>
      </c>
      <c r="D330" t="s">
        <v>199</v>
      </c>
      <c r="E330" t="s">
        <v>200</v>
      </c>
      <c r="F330">
        <v>20378</v>
      </c>
      <c r="G330">
        <v>6195</v>
      </c>
      <c r="H330" t="s">
        <v>76</v>
      </c>
      <c r="I330" t="s">
        <v>77</v>
      </c>
      <c r="J330" t="s">
        <v>251</v>
      </c>
      <c r="K330" t="s">
        <v>252</v>
      </c>
      <c r="L330">
        <v>1156</v>
      </c>
      <c r="M330" s="2">
        <v>1209</v>
      </c>
      <c r="N330">
        <v>13</v>
      </c>
      <c r="O330" t="str">
        <f>IF(flights_sample_3m[[#This Row],[DEP_DELAY]]&lt;=15,"No delay",IF(flights_sample_3m[[#This Row],[DEP_DELAY]]&lt;=60,"Short Delay","Long Delay"))</f>
        <v>No delay</v>
      </c>
      <c r="P330" t="str">
        <f>IF(flights_sample_3m[[#This Row],[DEP_DELAY]]&lt;=15,"Delayed","On Time")</f>
        <v>Delayed</v>
      </c>
      <c r="Q330">
        <v>13</v>
      </c>
      <c r="R330">
        <v>1222</v>
      </c>
      <c r="S330">
        <v>1558</v>
      </c>
      <c r="T330">
        <v>3</v>
      </c>
      <c r="U330">
        <v>1555</v>
      </c>
      <c r="V330" s="2">
        <v>1601</v>
      </c>
      <c r="W330">
        <v>6</v>
      </c>
      <c r="X330">
        <v>0</v>
      </c>
      <c r="Y330">
        <v>0</v>
      </c>
      <c r="Z330">
        <v>0</v>
      </c>
      <c r="AA330">
        <v>179</v>
      </c>
      <c r="AB330">
        <v>172</v>
      </c>
      <c r="AC330">
        <v>156</v>
      </c>
      <c r="AD330">
        <v>1201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">
      <c r="A331" s="1">
        <v>43737</v>
      </c>
      <c r="B331" s="1" t="str">
        <f>TEXT(flights_sample_3m[[#This Row],[FL_DATE]],"yyyy-mm")</f>
        <v>2019-09</v>
      </c>
      <c r="C331" t="s">
        <v>57</v>
      </c>
      <c r="D331" t="s">
        <v>58</v>
      </c>
      <c r="E331" t="s">
        <v>59</v>
      </c>
      <c r="F331">
        <v>19393</v>
      </c>
      <c r="G331">
        <v>2362</v>
      </c>
      <c r="H331" t="s">
        <v>187</v>
      </c>
      <c r="I331" t="s">
        <v>188</v>
      </c>
      <c r="J331" t="s">
        <v>69</v>
      </c>
      <c r="K331" t="s">
        <v>70</v>
      </c>
      <c r="L331">
        <v>1925</v>
      </c>
      <c r="M331" s="2">
        <v>1930</v>
      </c>
      <c r="N331">
        <v>5</v>
      </c>
      <c r="O331" t="str">
        <f>IF(flights_sample_3m[[#This Row],[DEP_DELAY]]&lt;=15,"No delay",IF(flights_sample_3m[[#This Row],[DEP_DELAY]]&lt;=60,"Short Delay","Long Delay"))</f>
        <v>No delay</v>
      </c>
      <c r="P331" t="str">
        <f>IF(flights_sample_3m[[#This Row],[DEP_DELAY]]&lt;=15,"Delayed","On Time")</f>
        <v>Delayed</v>
      </c>
      <c r="Q331">
        <v>10</v>
      </c>
      <c r="R331">
        <v>1940</v>
      </c>
      <c r="S331">
        <v>2248</v>
      </c>
      <c r="T331">
        <v>7</v>
      </c>
      <c r="U331">
        <v>2305</v>
      </c>
      <c r="V331" s="2">
        <v>2255</v>
      </c>
      <c r="W331">
        <v>-10</v>
      </c>
      <c r="X331">
        <v>0</v>
      </c>
      <c r="Y331">
        <v>0</v>
      </c>
      <c r="Z331">
        <v>0</v>
      </c>
      <c r="AA331">
        <v>160</v>
      </c>
      <c r="AB331">
        <v>145</v>
      </c>
      <c r="AC331">
        <v>128</v>
      </c>
      <c r="AD331">
        <v>1047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">
      <c r="A332" s="1">
        <v>44869</v>
      </c>
      <c r="B332" s="1" t="str">
        <f>TEXT(flights_sample_3m[[#This Row],[FL_DATE]],"yyyy-mm")</f>
        <v>2022-11</v>
      </c>
      <c r="C332" t="s">
        <v>39</v>
      </c>
      <c r="D332" t="s">
        <v>40</v>
      </c>
      <c r="E332" t="s">
        <v>41</v>
      </c>
      <c r="F332">
        <v>19790</v>
      </c>
      <c r="G332">
        <v>2636</v>
      </c>
      <c r="H332" t="s">
        <v>48</v>
      </c>
      <c r="I332" t="s">
        <v>49</v>
      </c>
      <c r="J332" t="s">
        <v>44</v>
      </c>
      <c r="K332" t="s">
        <v>45</v>
      </c>
      <c r="L332">
        <v>1017</v>
      </c>
      <c r="M332" s="2">
        <v>1011</v>
      </c>
      <c r="N332">
        <v>-6</v>
      </c>
      <c r="O332" t="str">
        <f>IF(flights_sample_3m[[#This Row],[DEP_DELAY]]&lt;=15,"No delay",IF(flights_sample_3m[[#This Row],[DEP_DELAY]]&lt;=60,"Short Delay","Long Delay"))</f>
        <v>No delay</v>
      </c>
      <c r="P332" t="str">
        <f>IF(flights_sample_3m[[#This Row],[DEP_DELAY]]&lt;=15,"Delayed","On Time")</f>
        <v>Delayed</v>
      </c>
      <c r="Q332">
        <v>12</v>
      </c>
      <c r="R332">
        <v>1023</v>
      </c>
      <c r="S332">
        <v>1210</v>
      </c>
      <c r="T332">
        <v>8</v>
      </c>
      <c r="U332">
        <v>1235</v>
      </c>
      <c r="V332" s="2">
        <v>1218</v>
      </c>
      <c r="W332">
        <v>-17</v>
      </c>
      <c r="X332">
        <v>0</v>
      </c>
      <c r="Y332">
        <v>0</v>
      </c>
      <c r="Z332">
        <v>0</v>
      </c>
      <c r="AA332">
        <v>138</v>
      </c>
      <c r="AB332">
        <v>127</v>
      </c>
      <c r="AC332">
        <v>107</v>
      </c>
      <c r="AD332">
        <v>679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">
      <c r="A333" s="1">
        <v>43545</v>
      </c>
      <c r="B333" s="1" t="str">
        <f>TEXT(flights_sample_3m[[#This Row],[FL_DATE]],"yyyy-mm")</f>
        <v>2019-03</v>
      </c>
      <c r="C333" t="s">
        <v>148</v>
      </c>
      <c r="D333" t="s">
        <v>149</v>
      </c>
      <c r="E333" t="s">
        <v>150</v>
      </c>
      <c r="F333">
        <v>20304</v>
      </c>
      <c r="G333">
        <v>3337</v>
      </c>
      <c r="H333" t="s">
        <v>78</v>
      </c>
      <c r="I333" t="s">
        <v>79</v>
      </c>
      <c r="J333" t="s">
        <v>355</v>
      </c>
      <c r="K333" t="s">
        <v>356</v>
      </c>
      <c r="L333">
        <v>2055</v>
      </c>
      <c r="M333" s="2">
        <v>2137</v>
      </c>
      <c r="N333">
        <v>42</v>
      </c>
      <c r="O333" t="str">
        <f>IF(flights_sample_3m[[#This Row],[DEP_DELAY]]&lt;=15,"No delay",IF(flights_sample_3m[[#This Row],[DEP_DELAY]]&lt;=60,"Short Delay","Long Delay"))</f>
        <v>Short Delay</v>
      </c>
      <c r="P333" t="str">
        <f>IF(flights_sample_3m[[#This Row],[DEP_DELAY]]&lt;=15,"Delayed","On Time")</f>
        <v>On Time</v>
      </c>
      <c r="Q333">
        <v>20</v>
      </c>
      <c r="R333">
        <v>2157</v>
      </c>
      <c r="S333">
        <v>2302</v>
      </c>
      <c r="T333">
        <v>5</v>
      </c>
      <c r="U333">
        <v>2235</v>
      </c>
      <c r="V333" s="2">
        <v>2307</v>
      </c>
      <c r="W333">
        <v>32</v>
      </c>
      <c r="X333">
        <v>0</v>
      </c>
      <c r="Y333">
        <v>0</v>
      </c>
      <c r="Z333">
        <v>0</v>
      </c>
      <c r="AA333">
        <v>100</v>
      </c>
      <c r="AB333">
        <v>90</v>
      </c>
      <c r="AC333">
        <v>65</v>
      </c>
      <c r="AD333">
        <v>400</v>
      </c>
      <c r="AE333">
        <v>0</v>
      </c>
      <c r="AF333">
        <v>0</v>
      </c>
      <c r="AG333">
        <v>0</v>
      </c>
      <c r="AH333">
        <v>0</v>
      </c>
      <c r="AI333">
        <v>32</v>
      </c>
    </row>
    <row r="334" spans="1:35" x14ac:dyDescent="0.3">
      <c r="A334" s="1">
        <v>44279</v>
      </c>
      <c r="B334" s="1" t="str">
        <f>TEXT(flights_sample_3m[[#This Row],[FL_DATE]],"yyyy-mm")</f>
        <v>2021-03</v>
      </c>
      <c r="C334" t="s">
        <v>32</v>
      </c>
      <c r="D334" t="s">
        <v>33</v>
      </c>
      <c r="E334" t="s">
        <v>34</v>
      </c>
      <c r="F334">
        <v>19977</v>
      </c>
      <c r="G334">
        <v>639</v>
      </c>
      <c r="H334" t="s">
        <v>159</v>
      </c>
      <c r="I334" t="s">
        <v>160</v>
      </c>
      <c r="J334" t="s">
        <v>125</v>
      </c>
      <c r="K334" t="s">
        <v>68</v>
      </c>
      <c r="L334">
        <v>1415</v>
      </c>
      <c r="M334" s="2">
        <v>1433</v>
      </c>
      <c r="N334">
        <v>18</v>
      </c>
      <c r="O334" t="str">
        <f>IF(flights_sample_3m[[#This Row],[DEP_DELAY]]&lt;=15,"No delay",IF(flights_sample_3m[[#This Row],[DEP_DELAY]]&lt;=60,"Short Delay","Long Delay"))</f>
        <v>Short Delay</v>
      </c>
      <c r="P334" t="str">
        <f>IF(flights_sample_3m[[#This Row],[DEP_DELAY]]&lt;=15,"Delayed","On Time")</f>
        <v>On Time</v>
      </c>
      <c r="Q334">
        <v>13</v>
      </c>
      <c r="R334">
        <v>1446</v>
      </c>
      <c r="S334">
        <v>1637</v>
      </c>
      <c r="T334">
        <v>5</v>
      </c>
      <c r="U334">
        <v>1632</v>
      </c>
      <c r="V334" s="2">
        <v>1642</v>
      </c>
      <c r="W334">
        <v>10</v>
      </c>
      <c r="X334">
        <v>0</v>
      </c>
      <c r="Y334">
        <v>0</v>
      </c>
      <c r="Z334">
        <v>0</v>
      </c>
      <c r="AA334">
        <v>137</v>
      </c>
      <c r="AB334">
        <v>129</v>
      </c>
      <c r="AC334">
        <v>111</v>
      </c>
      <c r="AD334">
        <v>811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">
      <c r="A335" s="1">
        <v>45003</v>
      </c>
      <c r="B335" s="1" t="str">
        <f>TEXT(flights_sample_3m[[#This Row],[FL_DATE]],"yyyy-mm")</f>
        <v>2023-03</v>
      </c>
      <c r="C335" t="s">
        <v>64</v>
      </c>
      <c r="D335" t="s">
        <v>65</v>
      </c>
      <c r="E335" t="s">
        <v>66</v>
      </c>
      <c r="F335">
        <v>19805</v>
      </c>
      <c r="G335">
        <v>2823</v>
      </c>
      <c r="H335" t="s">
        <v>67</v>
      </c>
      <c r="I335" t="s">
        <v>68</v>
      </c>
      <c r="J335" t="s">
        <v>159</v>
      </c>
      <c r="K335" t="s">
        <v>160</v>
      </c>
      <c r="L335">
        <v>1159</v>
      </c>
      <c r="M335" s="2">
        <v>1155</v>
      </c>
      <c r="N335">
        <v>-4</v>
      </c>
      <c r="O335" t="str">
        <f>IF(flights_sample_3m[[#This Row],[DEP_DELAY]]&lt;=15,"No delay",IF(flights_sample_3m[[#This Row],[DEP_DELAY]]&lt;=60,"Short Delay","Long Delay"))</f>
        <v>No delay</v>
      </c>
      <c r="P335" t="str">
        <f>IF(flights_sample_3m[[#This Row],[DEP_DELAY]]&lt;=15,"Delayed","On Time")</f>
        <v>Delayed</v>
      </c>
      <c r="Q335">
        <v>54</v>
      </c>
      <c r="R335">
        <v>1249</v>
      </c>
      <c r="S335">
        <v>1458</v>
      </c>
      <c r="T335">
        <v>13</v>
      </c>
      <c r="U335">
        <v>1422</v>
      </c>
      <c r="V335" s="2">
        <v>1511</v>
      </c>
      <c r="W335">
        <v>49</v>
      </c>
      <c r="X335">
        <v>0</v>
      </c>
      <c r="Y335">
        <v>0</v>
      </c>
      <c r="Z335">
        <v>0</v>
      </c>
      <c r="AA335">
        <v>143</v>
      </c>
      <c r="AB335">
        <v>196</v>
      </c>
      <c r="AC335">
        <v>129</v>
      </c>
      <c r="AD335">
        <v>814</v>
      </c>
      <c r="AE335">
        <v>0</v>
      </c>
      <c r="AF335">
        <v>0</v>
      </c>
      <c r="AG335">
        <v>49</v>
      </c>
      <c r="AH335">
        <v>0</v>
      </c>
      <c r="AI335">
        <v>0</v>
      </c>
    </row>
    <row r="336" spans="1:35" x14ac:dyDescent="0.3">
      <c r="A336" s="1">
        <v>43802</v>
      </c>
      <c r="B336" s="1" t="str">
        <f>TEXT(flights_sample_3m[[#This Row],[FL_DATE]],"yyyy-mm")</f>
        <v>2019-12</v>
      </c>
      <c r="C336" t="s">
        <v>57</v>
      </c>
      <c r="D336" t="s">
        <v>58</v>
      </c>
      <c r="E336" t="s">
        <v>59</v>
      </c>
      <c r="F336">
        <v>19393</v>
      </c>
      <c r="G336">
        <v>1925</v>
      </c>
      <c r="H336" t="s">
        <v>233</v>
      </c>
      <c r="I336" t="s">
        <v>234</v>
      </c>
      <c r="J336" t="s">
        <v>78</v>
      </c>
      <c r="K336" t="s">
        <v>79</v>
      </c>
      <c r="L336">
        <v>1340</v>
      </c>
      <c r="M336" s="2">
        <v>1351</v>
      </c>
      <c r="N336">
        <v>11</v>
      </c>
      <c r="O336" t="str">
        <f>IF(flights_sample_3m[[#This Row],[DEP_DELAY]]&lt;=15,"No delay",IF(flights_sample_3m[[#This Row],[DEP_DELAY]]&lt;=60,"Short Delay","Long Delay"))</f>
        <v>No delay</v>
      </c>
      <c r="P336" t="str">
        <f>IF(flights_sample_3m[[#This Row],[DEP_DELAY]]&lt;=15,"Delayed","On Time")</f>
        <v>Delayed</v>
      </c>
      <c r="Q336">
        <v>11</v>
      </c>
      <c r="R336">
        <v>1402</v>
      </c>
      <c r="S336">
        <v>1501</v>
      </c>
      <c r="T336">
        <v>10</v>
      </c>
      <c r="U336">
        <v>1510</v>
      </c>
      <c r="V336" s="2">
        <v>1511</v>
      </c>
      <c r="W336">
        <v>1</v>
      </c>
      <c r="X336">
        <v>0</v>
      </c>
      <c r="Y336">
        <v>0</v>
      </c>
      <c r="Z336">
        <v>0</v>
      </c>
      <c r="AA336">
        <v>90</v>
      </c>
      <c r="AB336">
        <v>80</v>
      </c>
      <c r="AC336">
        <v>59</v>
      </c>
      <c r="AD336">
        <v>337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">
      <c r="A337" s="1">
        <v>44781</v>
      </c>
      <c r="B337" s="1" t="str">
        <f>TEXT(flights_sample_3m[[#This Row],[FL_DATE]],"yyyy-mm")</f>
        <v>2022-08</v>
      </c>
      <c r="C337" t="s">
        <v>50</v>
      </c>
      <c r="D337" t="s">
        <v>51</v>
      </c>
      <c r="E337" t="s">
        <v>52</v>
      </c>
      <c r="F337">
        <v>20416</v>
      </c>
      <c r="G337">
        <v>1362</v>
      </c>
      <c r="H337" t="s">
        <v>129</v>
      </c>
      <c r="I337" t="s">
        <v>130</v>
      </c>
      <c r="J337" t="s">
        <v>85</v>
      </c>
      <c r="K337" t="s">
        <v>86</v>
      </c>
      <c r="L337">
        <v>1435</v>
      </c>
      <c r="M337" s="2">
        <v>1434</v>
      </c>
      <c r="N337">
        <v>-1</v>
      </c>
      <c r="O337" t="str">
        <f>IF(flights_sample_3m[[#This Row],[DEP_DELAY]]&lt;=15,"No delay",IF(flights_sample_3m[[#This Row],[DEP_DELAY]]&lt;=60,"Short Delay","Long Delay"))</f>
        <v>No delay</v>
      </c>
      <c r="P337" t="str">
        <f>IF(flights_sample_3m[[#This Row],[DEP_DELAY]]&lt;=15,"Delayed","On Time")</f>
        <v>Delayed</v>
      </c>
      <c r="Q337">
        <v>22</v>
      </c>
      <c r="R337">
        <v>1456</v>
      </c>
      <c r="S337">
        <v>2140</v>
      </c>
      <c r="T337">
        <v>7</v>
      </c>
      <c r="U337">
        <v>2140</v>
      </c>
      <c r="V337" s="2">
        <v>2147</v>
      </c>
      <c r="W337">
        <v>7</v>
      </c>
      <c r="X337">
        <v>0</v>
      </c>
      <c r="Y337">
        <v>0</v>
      </c>
      <c r="Z337">
        <v>0</v>
      </c>
      <c r="AA337">
        <v>245</v>
      </c>
      <c r="AB337">
        <v>253</v>
      </c>
      <c r="AC337">
        <v>224</v>
      </c>
      <c r="AD337">
        <v>1747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">
      <c r="A338" s="1">
        <v>44613</v>
      </c>
      <c r="B338" s="1" t="str">
        <f>TEXT(flights_sample_3m[[#This Row],[FL_DATE]],"yyyy-mm")</f>
        <v>2022-02</v>
      </c>
      <c r="C338" t="s">
        <v>39</v>
      </c>
      <c r="D338" t="s">
        <v>40</v>
      </c>
      <c r="E338" t="s">
        <v>41</v>
      </c>
      <c r="F338">
        <v>19790</v>
      </c>
      <c r="G338">
        <v>2927</v>
      </c>
      <c r="H338" t="s">
        <v>85</v>
      </c>
      <c r="I338" t="s">
        <v>86</v>
      </c>
      <c r="J338" t="s">
        <v>237</v>
      </c>
      <c r="K338" t="s">
        <v>238</v>
      </c>
      <c r="L338">
        <v>2259</v>
      </c>
      <c r="M338" s="2">
        <v>2259</v>
      </c>
      <c r="N338">
        <v>0</v>
      </c>
      <c r="O338" t="str">
        <f>IF(flights_sample_3m[[#This Row],[DEP_DELAY]]&lt;=15,"No delay",IF(flights_sample_3m[[#This Row],[DEP_DELAY]]&lt;=60,"Short Delay","Long Delay"))</f>
        <v>No delay</v>
      </c>
      <c r="P338" t="str">
        <f>IF(flights_sample_3m[[#This Row],[DEP_DELAY]]&lt;=15,"Delayed","On Time")</f>
        <v>Delayed</v>
      </c>
      <c r="Q338">
        <v>14</v>
      </c>
      <c r="R338">
        <v>2313</v>
      </c>
      <c r="S338">
        <v>2243</v>
      </c>
      <c r="T338">
        <v>7</v>
      </c>
      <c r="U338">
        <v>2251</v>
      </c>
      <c r="V338" s="2">
        <v>2250</v>
      </c>
      <c r="W338">
        <v>-1</v>
      </c>
      <c r="X338">
        <v>0</v>
      </c>
      <c r="Y338">
        <v>0</v>
      </c>
      <c r="Z338">
        <v>0</v>
      </c>
      <c r="AA338">
        <v>52</v>
      </c>
      <c r="AB338">
        <v>51</v>
      </c>
      <c r="AC338">
        <v>30</v>
      </c>
      <c r="AD338">
        <v>134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">
      <c r="A339" s="1">
        <v>44659</v>
      </c>
      <c r="B339" s="1" t="str">
        <f>TEXT(flights_sample_3m[[#This Row],[FL_DATE]],"yyyy-mm")</f>
        <v>2022-04</v>
      </c>
      <c r="C339" t="s">
        <v>182</v>
      </c>
      <c r="D339" t="s">
        <v>183</v>
      </c>
      <c r="E339" t="s">
        <v>184</v>
      </c>
      <c r="F339">
        <v>20398</v>
      </c>
      <c r="G339">
        <v>4209</v>
      </c>
      <c r="H339" t="s">
        <v>55</v>
      </c>
      <c r="I339" t="s">
        <v>56</v>
      </c>
      <c r="J339" t="s">
        <v>357</v>
      </c>
      <c r="K339" t="s">
        <v>358</v>
      </c>
      <c r="L339">
        <v>850</v>
      </c>
      <c r="M339" s="2">
        <v>846</v>
      </c>
      <c r="N339">
        <v>-4</v>
      </c>
      <c r="O339" t="str">
        <f>IF(flights_sample_3m[[#This Row],[DEP_DELAY]]&lt;=15,"No delay",IF(flights_sample_3m[[#This Row],[DEP_DELAY]]&lt;=60,"Short Delay","Long Delay"))</f>
        <v>No delay</v>
      </c>
      <c r="P339" t="str">
        <f>IF(flights_sample_3m[[#This Row],[DEP_DELAY]]&lt;=15,"Delayed","On Time")</f>
        <v>Delayed</v>
      </c>
      <c r="Q339">
        <v>21</v>
      </c>
      <c r="R339">
        <v>907</v>
      </c>
      <c r="S339">
        <v>935</v>
      </c>
      <c r="T339">
        <v>9</v>
      </c>
      <c r="U339">
        <v>947</v>
      </c>
      <c r="V339" s="2">
        <v>944</v>
      </c>
      <c r="W339">
        <v>-3</v>
      </c>
      <c r="X339">
        <v>0</v>
      </c>
      <c r="Y339">
        <v>0</v>
      </c>
      <c r="Z339">
        <v>0</v>
      </c>
      <c r="AA339">
        <v>57</v>
      </c>
      <c r="AB339">
        <v>58</v>
      </c>
      <c r="AC339">
        <v>28</v>
      </c>
      <c r="AD339">
        <v>113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">
      <c r="A340" s="1">
        <v>44621</v>
      </c>
      <c r="B340" s="1" t="str">
        <f>TEXT(flights_sample_3m[[#This Row],[FL_DATE]],"yyyy-mm")</f>
        <v>2022-03</v>
      </c>
      <c r="C340" t="s">
        <v>167</v>
      </c>
      <c r="D340" t="s">
        <v>168</v>
      </c>
      <c r="E340" t="s">
        <v>169</v>
      </c>
      <c r="F340">
        <v>20363</v>
      </c>
      <c r="G340">
        <v>5012</v>
      </c>
      <c r="H340" t="s">
        <v>85</v>
      </c>
      <c r="I340" t="s">
        <v>86</v>
      </c>
      <c r="J340" t="s">
        <v>298</v>
      </c>
      <c r="K340" t="s">
        <v>299</v>
      </c>
      <c r="L340">
        <v>940</v>
      </c>
      <c r="M340" s="2">
        <v>935</v>
      </c>
      <c r="N340">
        <v>-5</v>
      </c>
      <c r="O340" t="str">
        <f>IF(flights_sample_3m[[#This Row],[DEP_DELAY]]&lt;=15,"No delay",IF(flights_sample_3m[[#This Row],[DEP_DELAY]]&lt;=60,"Short Delay","Long Delay"))</f>
        <v>No delay</v>
      </c>
      <c r="P340" t="str">
        <f>IF(flights_sample_3m[[#This Row],[DEP_DELAY]]&lt;=15,"Delayed","On Time")</f>
        <v>Delayed</v>
      </c>
      <c r="Q340">
        <v>11</v>
      </c>
      <c r="R340">
        <v>946</v>
      </c>
      <c r="S340">
        <v>940</v>
      </c>
      <c r="T340">
        <v>4</v>
      </c>
      <c r="U340">
        <v>959</v>
      </c>
      <c r="V340" s="2">
        <v>944</v>
      </c>
      <c r="W340">
        <v>-15</v>
      </c>
      <c r="X340">
        <v>0</v>
      </c>
      <c r="Y340">
        <v>0</v>
      </c>
      <c r="Z340">
        <v>0</v>
      </c>
      <c r="AA340">
        <v>79</v>
      </c>
      <c r="AB340">
        <v>69</v>
      </c>
      <c r="AC340">
        <v>54</v>
      </c>
      <c r="AD340">
        <v>302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">
      <c r="A341" s="1">
        <v>44333</v>
      </c>
      <c r="B341" s="1" t="str">
        <f>TEXT(flights_sample_3m[[#This Row],[FL_DATE]],"yyyy-mm")</f>
        <v>2021-05</v>
      </c>
      <c r="C341" t="s">
        <v>57</v>
      </c>
      <c r="D341" t="s">
        <v>58</v>
      </c>
      <c r="E341" t="s">
        <v>59</v>
      </c>
      <c r="F341">
        <v>19393</v>
      </c>
      <c r="G341">
        <v>2116</v>
      </c>
      <c r="H341" t="s">
        <v>165</v>
      </c>
      <c r="I341" t="s">
        <v>166</v>
      </c>
      <c r="J341" t="s">
        <v>129</v>
      </c>
      <c r="K341" t="s">
        <v>130</v>
      </c>
      <c r="L341">
        <v>600</v>
      </c>
      <c r="M341" s="2">
        <v>557</v>
      </c>
      <c r="N341">
        <v>-3</v>
      </c>
      <c r="O341" t="str">
        <f>IF(flights_sample_3m[[#This Row],[DEP_DELAY]]&lt;=15,"No delay",IF(flights_sample_3m[[#This Row],[DEP_DELAY]]&lt;=60,"Short Delay","Long Delay"))</f>
        <v>No delay</v>
      </c>
      <c r="P341" t="str">
        <f>IF(flights_sample_3m[[#This Row],[DEP_DELAY]]&lt;=15,"Delayed","On Time")</f>
        <v>Delayed</v>
      </c>
      <c r="Q341">
        <v>7</v>
      </c>
      <c r="R341">
        <v>604</v>
      </c>
      <c r="S341">
        <v>700</v>
      </c>
      <c r="T341">
        <v>5</v>
      </c>
      <c r="U341">
        <v>720</v>
      </c>
      <c r="V341" s="2">
        <v>705</v>
      </c>
      <c r="W341">
        <v>-15</v>
      </c>
      <c r="X341">
        <v>0</v>
      </c>
      <c r="Y341">
        <v>0</v>
      </c>
      <c r="Z341">
        <v>0</v>
      </c>
      <c r="AA341">
        <v>80</v>
      </c>
      <c r="AB341">
        <v>68</v>
      </c>
      <c r="AC341">
        <v>56</v>
      </c>
      <c r="AD341">
        <v>365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">
      <c r="A342" s="1">
        <v>43869</v>
      </c>
      <c r="B342" s="1" t="str">
        <f>TEXT(flights_sample_3m[[#This Row],[FL_DATE]],"yyyy-mm")</f>
        <v>2020-02</v>
      </c>
      <c r="C342" t="s">
        <v>148</v>
      </c>
      <c r="D342" t="s">
        <v>149</v>
      </c>
      <c r="E342" t="s">
        <v>150</v>
      </c>
      <c r="F342">
        <v>20304</v>
      </c>
      <c r="G342">
        <v>3965</v>
      </c>
      <c r="H342" t="s">
        <v>359</v>
      </c>
      <c r="I342" t="s">
        <v>360</v>
      </c>
      <c r="J342" t="s">
        <v>42</v>
      </c>
      <c r="K342" t="s">
        <v>43</v>
      </c>
      <c r="L342">
        <v>1055</v>
      </c>
      <c r="M342" s="2">
        <v>1042</v>
      </c>
      <c r="N342">
        <v>-13</v>
      </c>
      <c r="O342" t="str">
        <f>IF(flights_sample_3m[[#This Row],[DEP_DELAY]]&lt;=15,"No delay",IF(flights_sample_3m[[#This Row],[DEP_DELAY]]&lt;=60,"Short Delay","Long Delay"))</f>
        <v>No delay</v>
      </c>
      <c r="P342" t="str">
        <f>IF(flights_sample_3m[[#This Row],[DEP_DELAY]]&lt;=15,"Delayed","On Time")</f>
        <v>Delayed</v>
      </c>
      <c r="Q342">
        <v>22</v>
      </c>
      <c r="R342">
        <v>1104</v>
      </c>
      <c r="S342">
        <v>1142</v>
      </c>
      <c r="T342">
        <v>2</v>
      </c>
      <c r="U342">
        <v>1207</v>
      </c>
      <c r="V342" s="2">
        <v>1144</v>
      </c>
      <c r="W342">
        <v>-23</v>
      </c>
      <c r="X342">
        <v>0</v>
      </c>
      <c r="Y342">
        <v>0</v>
      </c>
      <c r="Z342">
        <v>0</v>
      </c>
      <c r="AA342">
        <v>72</v>
      </c>
      <c r="AB342">
        <v>62</v>
      </c>
      <c r="AC342">
        <v>38</v>
      </c>
      <c r="AD342">
        <v>196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">
      <c r="A343" s="1">
        <v>44770</v>
      </c>
      <c r="B343" s="1" t="str">
        <f>TEXT(flights_sample_3m[[#This Row],[FL_DATE]],"yyyy-mm")</f>
        <v>2022-07</v>
      </c>
      <c r="C343" t="s">
        <v>57</v>
      </c>
      <c r="D343" t="s">
        <v>58</v>
      </c>
      <c r="E343" t="s">
        <v>59</v>
      </c>
      <c r="F343">
        <v>19393</v>
      </c>
      <c r="G343">
        <v>2781</v>
      </c>
      <c r="H343" t="s">
        <v>187</v>
      </c>
      <c r="I343" t="s">
        <v>188</v>
      </c>
      <c r="J343" t="s">
        <v>62</v>
      </c>
      <c r="K343" t="s">
        <v>63</v>
      </c>
      <c r="L343">
        <v>1610</v>
      </c>
      <c r="M343" s="2">
        <v>1616</v>
      </c>
      <c r="N343">
        <v>6</v>
      </c>
      <c r="O343" t="str">
        <f>IF(flights_sample_3m[[#This Row],[DEP_DELAY]]&lt;=15,"No delay",IF(flights_sample_3m[[#This Row],[DEP_DELAY]]&lt;=60,"Short Delay","Long Delay"))</f>
        <v>No delay</v>
      </c>
      <c r="P343" t="str">
        <f>IF(flights_sample_3m[[#This Row],[DEP_DELAY]]&lt;=15,"Delayed","On Time")</f>
        <v>Delayed</v>
      </c>
      <c r="Q343">
        <v>15</v>
      </c>
      <c r="R343">
        <v>1631</v>
      </c>
      <c r="S343">
        <v>1748</v>
      </c>
      <c r="T343">
        <v>4</v>
      </c>
      <c r="U343">
        <v>1730</v>
      </c>
      <c r="V343" s="2">
        <v>1752</v>
      </c>
      <c r="W343">
        <v>22</v>
      </c>
      <c r="X343">
        <v>0</v>
      </c>
      <c r="Y343">
        <v>0</v>
      </c>
      <c r="Z343">
        <v>0</v>
      </c>
      <c r="AA343">
        <v>80</v>
      </c>
      <c r="AB343">
        <v>96</v>
      </c>
      <c r="AC343">
        <v>77</v>
      </c>
      <c r="AD343">
        <v>462</v>
      </c>
      <c r="AE343">
        <v>6</v>
      </c>
      <c r="AF343">
        <v>0</v>
      </c>
      <c r="AG343">
        <v>16</v>
      </c>
      <c r="AH343">
        <v>0</v>
      </c>
      <c r="AI343">
        <v>0</v>
      </c>
    </row>
    <row r="344" spans="1:35" x14ac:dyDescent="0.3">
      <c r="A344" s="1">
        <v>44314</v>
      </c>
      <c r="B344" s="1" t="str">
        <f>TEXT(flights_sample_3m[[#This Row],[FL_DATE]],"yyyy-mm")</f>
        <v>2021-04</v>
      </c>
      <c r="C344" t="s">
        <v>198</v>
      </c>
      <c r="D344" t="s">
        <v>199</v>
      </c>
      <c r="E344" t="s">
        <v>200</v>
      </c>
      <c r="F344">
        <v>20378</v>
      </c>
      <c r="G344">
        <v>6146</v>
      </c>
      <c r="H344" t="s">
        <v>153</v>
      </c>
      <c r="I344" t="s">
        <v>154</v>
      </c>
      <c r="J344" t="s">
        <v>76</v>
      </c>
      <c r="K344" t="s">
        <v>77</v>
      </c>
      <c r="L344">
        <v>630</v>
      </c>
      <c r="M344" s="2">
        <v>625</v>
      </c>
      <c r="N344">
        <v>-5</v>
      </c>
      <c r="O344" t="str">
        <f>IF(flights_sample_3m[[#This Row],[DEP_DELAY]]&lt;=15,"No delay",IF(flights_sample_3m[[#This Row],[DEP_DELAY]]&lt;=60,"Short Delay","Long Delay"))</f>
        <v>No delay</v>
      </c>
      <c r="P344" t="str">
        <f>IF(flights_sample_3m[[#This Row],[DEP_DELAY]]&lt;=15,"Delayed","On Time")</f>
        <v>Delayed</v>
      </c>
      <c r="Q344">
        <v>15</v>
      </c>
      <c r="R344">
        <v>640</v>
      </c>
      <c r="S344">
        <v>841</v>
      </c>
      <c r="T344">
        <v>8</v>
      </c>
      <c r="U344">
        <v>843</v>
      </c>
      <c r="V344" s="2">
        <v>849</v>
      </c>
      <c r="W344">
        <v>6</v>
      </c>
      <c r="X344">
        <v>0</v>
      </c>
      <c r="Y344">
        <v>0</v>
      </c>
      <c r="Z344">
        <v>0</v>
      </c>
      <c r="AA344">
        <v>133</v>
      </c>
      <c r="AB344">
        <v>144</v>
      </c>
      <c r="AC344">
        <v>121</v>
      </c>
      <c r="AD344">
        <v>643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">
      <c r="A345" s="1">
        <v>44115</v>
      </c>
      <c r="B345" s="1" t="str">
        <f>TEXT(flights_sample_3m[[#This Row],[FL_DATE]],"yyyy-mm")</f>
        <v>2020-10</v>
      </c>
      <c r="C345" t="s">
        <v>64</v>
      </c>
      <c r="D345" t="s">
        <v>65</v>
      </c>
      <c r="E345" t="s">
        <v>66</v>
      </c>
      <c r="F345">
        <v>19805</v>
      </c>
      <c r="G345">
        <v>1709</v>
      </c>
      <c r="H345" t="s">
        <v>35</v>
      </c>
      <c r="I345" t="s">
        <v>36</v>
      </c>
      <c r="J345" t="s">
        <v>123</v>
      </c>
      <c r="K345" t="s">
        <v>124</v>
      </c>
      <c r="L345">
        <v>1727</v>
      </c>
      <c r="M345" s="2">
        <v>1721</v>
      </c>
      <c r="N345">
        <v>-6</v>
      </c>
      <c r="O345" t="str">
        <f>IF(flights_sample_3m[[#This Row],[DEP_DELAY]]&lt;=15,"No delay",IF(flights_sample_3m[[#This Row],[DEP_DELAY]]&lt;=60,"Short Delay","Long Delay"))</f>
        <v>No delay</v>
      </c>
      <c r="P345" t="str">
        <f>IF(flights_sample_3m[[#This Row],[DEP_DELAY]]&lt;=15,"Delayed","On Time")</f>
        <v>Delayed</v>
      </c>
      <c r="Q345">
        <v>10</v>
      </c>
      <c r="R345">
        <v>1731</v>
      </c>
      <c r="S345">
        <v>1915</v>
      </c>
      <c r="T345">
        <v>6</v>
      </c>
      <c r="U345">
        <v>1924</v>
      </c>
      <c r="V345" s="2">
        <v>1921</v>
      </c>
      <c r="W345">
        <v>-3</v>
      </c>
      <c r="X345">
        <v>0</v>
      </c>
      <c r="Y345">
        <v>0</v>
      </c>
      <c r="Z345">
        <v>0</v>
      </c>
      <c r="AA345">
        <v>117</v>
      </c>
      <c r="AB345">
        <v>120</v>
      </c>
      <c r="AC345">
        <v>104</v>
      </c>
      <c r="AD345">
        <v>632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">
      <c r="A346" s="1">
        <v>44646</v>
      </c>
      <c r="B346" s="1" t="str">
        <f>TEXT(flights_sample_3m[[#This Row],[FL_DATE]],"yyyy-mm")</f>
        <v>2022-03</v>
      </c>
      <c r="C346" t="s">
        <v>107</v>
      </c>
      <c r="D346" t="s">
        <v>108</v>
      </c>
      <c r="E346" t="s">
        <v>109</v>
      </c>
      <c r="F346">
        <v>20409</v>
      </c>
      <c r="G346">
        <v>2428</v>
      </c>
      <c r="H346" t="s">
        <v>89</v>
      </c>
      <c r="I346" t="s">
        <v>90</v>
      </c>
      <c r="J346" t="s">
        <v>37</v>
      </c>
      <c r="K346" t="s">
        <v>38</v>
      </c>
      <c r="L346">
        <v>1901</v>
      </c>
      <c r="M346" s="2">
        <v>1957</v>
      </c>
      <c r="N346">
        <v>56</v>
      </c>
      <c r="O346" t="str">
        <f>IF(flights_sample_3m[[#This Row],[DEP_DELAY]]&lt;=15,"No delay",IF(flights_sample_3m[[#This Row],[DEP_DELAY]]&lt;=60,"Short Delay","Long Delay"))</f>
        <v>Short Delay</v>
      </c>
      <c r="P346" t="str">
        <f>IF(flights_sample_3m[[#This Row],[DEP_DELAY]]&lt;=15,"Delayed","On Time")</f>
        <v>On Time</v>
      </c>
      <c r="Q346">
        <v>16</v>
      </c>
      <c r="R346">
        <v>2013</v>
      </c>
      <c r="S346">
        <v>2126</v>
      </c>
      <c r="T346">
        <v>4</v>
      </c>
      <c r="U346">
        <v>2038</v>
      </c>
      <c r="V346" s="2">
        <v>2130</v>
      </c>
      <c r="W346">
        <v>52</v>
      </c>
      <c r="X346">
        <v>0</v>
      </c>
      <c r="Y346">
        <v>0</v>
      </c>
      <c r="Z346">
        <v>0</v>
      </c>
      <c r="AA346">
        <v>97</v>
      </c>
      <c r="AB346">
        <v>93</v>
      </c>
      <c r="AC346">
        <v>73</v>
      </c>
      <c r="AD346">
        <v>416</v>
      </c>
      <c r="AE346">
        <v>7</v>
      </c>
      <c r="AF346">
        <v>0</v>
      </c>
      <c r="AG346">
        <v>0</v>
      </c>
      <c r="AH346">
        <v>0</v>
      </c>
      <c r="AI346">
        <v>45</v>
      </c>
    </row>
    <row r="347" spans="1:35" x14ac:dyDescent="0.3">
      <c r="A347" s="1">
        <v>45104</v>
      </c>
      <c r="B347" s="1" t="str">
        <f>TEXT(flights_sample_3m[[#This Row],[FL_DATE]],"yyyy-mm")</f>
        <v>2023-06</v>
      </c>
      <c r="C347" t="s">
        <v>71</v>
      </c>
      <c r="D347" t="s">
        <v>72</v>
      </c>
      <c r="E347" t="s">
        <v>73</v>
      </c>
      <c r="F347">
        <v>20452</v>
      </c>
      <c r="G347">
        <v>4543</v>
      </c>
      <c r="H347" t="s">
        <v>89</v>
      </c>
      <c r="I347" t="s">
        <v>90</v>
      </c>
      <c r="J347" t="s">
        <v>93</v>
      </c>
      <c r="K347" t="s">
        <v>94</v>
      </c>
      <c r="L347">
        <v>1524</v>
      </c>
      <c r="M347" s="2">
        <v>1519</v>
      </c>
      <c r="N347">
        <v>-5</v>
      </c>
      <c r="O347" t="str">
        <f>IF(flights_sample_3m[[#This Row],[DEP_DELAY]]&lt;=15,"No delay",IF(flights_sample_3m[[#This Row],[DEP_DELAY]]&lt;=60,"Short Delay","Long Delay"))</f>
        <v>No delay</v>
      </c>
      <c r="P347" t="str">
        <f>IF(flights_sample_3m[[#This Row],[DEP_DELAY]]&lt;=15,"Delayed","On Time")</f>
        <v>Delayed</v>
      </c>
      <c r="Q347">
        <v>15</v>
      </c>
      <c r="R347">
        <v>1534</v>
      </c>
      <c r="S347">
        <v>1549</v>
      </c>
      <c r="T347">
        <v>10</v>
      </c>
      <c r="U347">
        <v>1603</v>
      </c>
      <c r="V347" s="2">
        <v>1559</v>
      </c>
      <c r="W347">
        <v>-4</v>
      </c>
      <c r="X347">
        <v>0</v>
      </c>
      <c r="Y347">
        <v>0</v>
      </c>
      <c r="Z347">
        <v>0</v>
      </c>
      <c r="AA347">
        <v>99</v>
      </c>
      <c r="AB347">
        <v>100</v>
      </c>
      <c r="AC347">
        <v>75</v>
      </c>
      <c r="AD347">
        <v>442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">
      <c r="A348" s="1">
        <v>44038</v>
      </c>
      <c r="B348" s="1" t="str">
        <f>TEXT(flights_sample_3m[[#This Row],[FL_DATE]],"yyyy-mm")</f>
        <v>2020-07</v>
      </c>
      <c r="C348" t="s">
        <v>71</v>
      </c>
      <c r="D348" t="s">
        <v>72</v>
      </c>
      <c r="E348" t="s">
        <v>73</v>
      </c>
      <c r="F348">
        <v>20452</v>
      </c>
      <c r="G348">
        <v>4407</v>
      </c>
      <c r="H348" t="s">
        <v>89</v>
      </c>
      <c r="I348" t="s">
        <v>90</v>
      </c>
      <c r="J348" t="s">
        <v>205</v>
      </c>
      <c r="K348" t="s">
        <v>206</v>
      </c>
      <c r="L348">
        <v>815</v>
      </c>
      <c r="M348" s="2">
        <v>808</v>
      </c>
      <c r="N348">
        <v>-7</v>
      </c>
      <c r="O348" t="str">
        <f>IF(flights_sample_3m[[#This Row],[DEP_DELAY]]&lt;=15,"No delay",IF(flights_sample_3m[[#This Row],[DEP_DELAY]]&lt;=60,"Short Delay","Long Delay"))</f>
        <v>No delay</v>
      </c>
      <c r="P348" t="str">
        <f>IF(flights_sample_3m[[#This Row],[DEP_DELAY]]&lt;=15,"Delayed","On Time")</f>
        <v>Delayed</v>
      </c>
      <c r="Q348">
        <v>11</v>
      </c>
      <c r="R348">
        <v>819</v>
      </c>
      <c r="S348">
        <v>920</v>
      </c>
      <c r="T348">
        <v>5</v>
      </c>
      <c r="U348">
        <v>949</v>
      </c>
      <c r="V348" s="2">
        <v>925</v>
      </c>
      <c r="W348">
        <v>-24</v>
      </c>
      <c r="X348">
        <v>0</v>
      </c>
      <c r="Y348">
        <v>0</v>
      </c>
      <c r="Z348">
        <v>0</v>
      </c>
      <c r="AA348">
        <v>94</v>
      </c>
      <c r="AB348">
        <v>77</v>
      </c>
      <c r="AC348">
        <v>61</v>
      </c>
      <c r="AD348">
        <v>337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">
      <c r="A349" s="1">
        <v>44400</v>
      </c>
      <c r="B349" s="1" t="str">
        <f>TEXT(flights_sample_3m[[#This Row],[FL_DATE]],"yyyy-mm")</f>
        <v>2021-07</v>
      </c>
      <c r="C349" t="s">
        <v>32</v>
      </c>
      <c r="D349" t="s">
        <v>33</v>
      </c>
      <c r="E349" t="s">
        <v>34</v>
      </c>
      <c r="F349">
        <v>19977</v>
      </c>
      <c r="G349">
        <v>2627</v>
      </c>
      <c r="H349" t="s">
        <v>194</v>
      </c>
      <c r="I349" t="s">
        <v>195</v>
      </c>
      <c r="J349" t="s">
        <v>76</v>
      </c>
      <c r="K349" t="s">
        <v>77</v>
      </c>
      <c r="L349">
        <v>1345</v>
      </c>
      <c r="M349" s="2">
        <v>1344</v>
      </c>
      <c r="N349">
        <v>-1</v>
      </c>
      <c r="O349" t="str">
        <f>IF(flights_sample_3m[[#This Row],[DEP_DELAY]]&lt;=15,"No delay",IF(flights_sample_3m[[#This Row],[DEP_DELAY]]&lt;=60,"Short Delay","Long Delay"))</f>
        <v>No delay</v>
      </c>
      <c r="P349" t="str">
        <f>IF(flights_sample_3m[[#This Row],[DEP_DELAY]]&lt;=15,"Delayed","On Time")</f>
        <v>Delayed</v>
      </c>
      <c r="Q349">
        <v>16</v>
      </c>
      <c r="R349">
        <v>1400</v>
      </c>
      <c r="S349">
        <v>1855</v>
      </c>
      <c r="T349">
        <v>6</v>
      </c>
      <c r="U349">
        <v>1853</v>
      </c>
      <c r="V349" s="2">
        <v>1901</v>
      </c>
      <c r="W349">
        <v>8</v>
      </c>
      <c r="X349">
        <v>0</v>
      </c>
      <c r="Y349">
        <v>0</v>
      </c>
      <c r="Z349">
        <v>0</v>
      </c>
      <c r="AA349">
        <v>188</v>
      </c>
      <c r="AB349">
        <v>197</v>
      </c>
      <c r="AC349">
        <v>175</v>
      </c>
      <c r="AD349">
        <v>1303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 s="1">
        <v>44112</v>
      </c>
      <c r="B350" s="1" t="str">
        <f>TEXT(flights_sample_3m[[#This Row],[FL_DATE]],"yyyy-mm")</f>
        <v>2020-10</v>
      </c>
      <c r="C350" t="s">
        <v>148</v>
      </c>
      <c r="D350" t="s">
        <v>149</v>
      </c>
      <c r="E350" t="s">
        <v>150</v>
      </c>
      <c r="F350">
        <v>20304</v>
      </c>
      <c r="G350">
        <v>5472</v>
      </c>
      <c r="H350" t="s">
        <v>106</v>
      </c>
      <c r="I350" t="s">
        <v>92</v>
      </c>
      <c r="J350" t="s">
        <v>266</v>
      </c>
      <c r="K350" t="s">
        <v>267</v>
      </c>
      <c r="L350">
        <v>1950</v>
      </c>
      <c r="M350" s="2">
        <v>1949</v>
      </c>
      <c r="N350">
        <v>-1</v>
      </c>
      <c r="O350" t="str">
        <f>IF(flights_sample_3m[[#This Row],[DEP_DELAY]]&lt;=15,"No delay",IF(flights_sample_3m[[#This Row],[DEP_DELAY]]&lt;=60,"Short Delay","Long Delay"))</f>
        <v>No delay</v>
      </c>
      <c r="P350" t="str">
        <f>IF(flights_sample_3m[[#This Row],[DEP_DELAY]]&lt;=15,"Delayed","On Time")</f>
        <v>Delayed</v>
      </c>
      <c r="Q350">
        <v>26</v>
      </c>
      <c r="R350">
        <v>2015</v>
      </c>
      <c r="S350">
        <v>2121</v>
      </c>
      <c r="T350">
        <v>5</v>
      </c>
      <c r="U350">
        <v>2135</v>
      </c>
      <c r="V350" s="2">
        <v>2126</v>
      </c>
      <c r="W350">
        <v>-9</v>
      </c>
      <c r="X350">
        <v>0</v>
      </c>
      <c r="Y350">
        <v>0</v>
      </c>
      <c r="Z350">
        <v>0</v>
      </c>
      <c r="AA350">
        <v>105</v>
      </c>
      <c r="AB350">
        <v>97</v>
      </c>
      <c r="AC350">
        <v>66</v>
      </c>
      <c r="AD350">
        <v>416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">
      <c r="A351" s="1">
        <v>44256</v>
      </c>
      <c r="B351" s="1" t="str">
        <f>TEXT(flights_sample_3m[[#This Row],[FL_DATE]],"yyyy-mm")</f>
        <v>2021-03</v>
      </c>
      <c r="C351" t="s">
        <v>39</v>
      </c>
      <c r="D351" t="s">
        <v>40</v>
      </c>
      <c r="E351" t="s">
        <v>41</v>
      </c>
      <c r="F351">
        <v>19790</v>
      </c>
      <c r="G351">
        <v>392</v>
      </c>
      <c r="H351" t="s">
        <v>78</v>
      </c>
      <c r="I351" t="s">
        <v>79</v>
      </c>
      <c r="J351" t="s">
        <v>110</v>
      </c>
      <c r="K351" t="s">
        <v>111</v>
      </c>
      <c r="L351">
        <v>845</v>
      </c>
      <c r="M351" s="2">
        <v>847</v>
      </c>
      <c r="N351">
        <v>2</v>
      </c>
      <c r="O351" t="str">
        <f>IF(flights_sample_3m[[#This Row],[DEP_DELAY]]&lt;=15,"No delay",IF(flights_sample_3m[[#This Row],[DEP_DELAY]]&lt;=60,"Short Delay","Long Delay"))</f>
        <v>No delay</v>
      </c>
      <c r="P351" t="str">
        <f>IF(flights_sample_3m[[#This Row],[DEP_DELAY]]&lt;=15,"Delayed","On Time")</f>
        <v>Delayed</v>
      </c>
      <c r="Q351">
        <v>11</v>
      </c>
      <c r="R351">
        <v>858</v>
      </c>
      <c r="S351">
        <v>1642</v>
      </c>
      <c r="T351">
        <v>6</v>
      </c>
      <c r="U351">
        <v>1700</v>
      </c>
      <c r="V351" s="2">
        <v>1648</v>
      </c>
      <c r="W351">
        <v>-12</v>
      </c>
      <c r="X351">
        <v>0</v>
      </c>
      <c r="Y351">
        <v>0</v>
      </c>
      <c r="Z351">
        <v>0</v>
      </c>
      <c r="AA351">
        <v>315</v>
      </c>
      <c r="AB351">
        <v>301</v>
      </c>
      <c r="AC351">
        <v>284</v>
      </c>
      <c r="AD351">
        <v>2475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">
      <c r="A352" s="1">
        <v>44702</v>
      </c>
      <c r="B352" s="1" t="str">
        <f>TEXT(flights_sample_3m[[#This Row],[FL_DATE]],"yyyy-mm")</f>
        <v>2022-05</v>
      </c>
      <c r="C352" t="s">
        <v>64</v>
      </c>
      <c r="D352" t="s">
        <v>65</v>
      </c>
      <c r="E352" t="s">
        <v>66</v>
      </c>
      <c r="F352">
        <v>19805</v>
      </c>
      <c r="G352">
        <v>645</v>
      </c>
      <c r="H352" t="s">
        <v>314</v>
      </c>
      <c r="I352" t="s">
        <v>315</v>
      </c>
      <c r="J352" t="s">
        <v>201</v>
      </c>
      <c r="K352" t="s">
        <v>202</v>
      </c>
      <c r="L352">
        <v>2243</v>
      </c>
      <c r="M352" s="2">
        <v>2240</v>
      </c>
      <c r="N352">
        <v>-3</v>
      </c>
      <c r="O352" t="str">
        <f>IF(flights_sample_3m[[#This Row],[DEP_DELAY]]&lt;=15,"No delay",IF(flights_sample_3m[[#This Row],[DEP_DELAY]]&lt;=60,"Short Delay","Long Delay"))</f>
        <v>No delay</v>
      </c>
      <c r="P352" t="str">
        <f>IF(flights_sample_3m[[#This Row],[DEP_DELAY]]&lt;=15,"Delayed","On Time")</f>
        <v>Delayed</v>
      </c>
      <c r="Q352">
        <v>9</v>
      </c>
      <c r="R352">
        <v>2249</v>
      </c>
      <c r="S352">
        <v>716</v>
      </c>
      <c r="T352">
        <v>3</v>
      </c>
      <c r="U352">
        <v>725</v>
      </c>
      <c r="V352" s="2">
        <v>719</v>
      </c>
      <c r="W352">
        <v>-6</v>
      </c>
      <c r="X352">
        <v>0</v>
      </c>
      <c r="Y352">
        <v>0</v>
      </c>
      <c r="Z352">
        <v>0</v>
      </c>
      <c r="AA352">
        <v>342</v>
      </c>
      <c r="AB352">
        <v>339</v>
      </c>
      <c r="AC352">
        <v>327</v>
      </c>
      <c r="AD352">
        <v>2845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">
      <c r="A353" s="1">
        <v>43561</v>
      </c>
      <c r="B353" s="1" t="str">
        <f>TEXT(flights_sample_3m[[#This Row],[FL_DATE]],"yyyy-mm")</f>
        <v>2019-04</v>
      </c>
      <c r="C353" t="s">
        <v>39</v>
      </c>
      <c r="D353" t="s">
        <v>40</v>
      </c>
      <c r="E353" t="s">
        <v>41</v>
      </c>
      <c r="F353">
        <v>19790</v>
      </c>
      <c r="G353">
        <v>2798</v>
      </c>
      <c r="H353" t="s">
        <v>85</v>
      </c>
      <c r="I353" t="s">
        <v>86</v>
      </c>
      <c r="J353" t="s">
        <v>361</v>
      </c>
      <c r="K353" t="s">
        <v>362</v>
      </c>
      <c r="L353">
        <v>1500</v>
      </c>
      <c r="M353" s="2">
        <v>1457</v>
      </c>
      <c r="N353">
        <v>-3</v>
      </c>
      <c r="O353" t="str">
        <f>IF(flights_sample_3m[[#This Row],[DEP_DELAY]]&lt;=15,"No delay",IF(flights_sample_3m[[#This Row],[DEP_DELAY]]&lt;=60,"Short Delay","Long Delay"))</f>
        <v>No delay</v>
      </c>
      <c r="P353" t="str">
        <f>IF(flights_sample_3m[[#This Row],[DEP_DELAY]]&lt;=15,"Delayed","On Time")</f>
        <v>Delayed</v>
      </c>
      <c r="Q353">
        <v>14</v>
      </c>
      <c r="R353">
        <v>1511</v>
      </c>
      <c r="S353">
        <v>1637</v>
      </c>
      <c r="T353">
        <v>3</v>
      </c>
      <c r="U353">
        <v>1652</v>
      </c>
      <c r="V353" s="2">
        <v>1640</v>
      </c>
      <c r="W353">
        <v>-12</v>
      </c>
      <c r="X353">
        <v>0</v>
      </c>
      <c r="Y353">
        <v>0</v>
      </c>
      <c r="Z353">
        <v>0</v>
      </c>
      <c r="AA353">
        <v>112</v>
      </c>
      <c r="AB353">
        <v>103</v>
      </c>
      <c r="AC353">
        <v>86</v>
      </c>
      <c r="AD353">
        <v>646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">
      <c r="A354" s="1">
        <v>44714</v>
      </c>
      <c r="B354" s="1" t="str">
        <f>TEXT(flights_sample_3m[[#This Row],[FL_DATE]],"yyyy-mm")</f>
        <v>2022-06</v>
      </c>
      <c r="C354" t="s">
        <v>57</v>
      </c>
      <c r="D354" t="s">
        <v>58</v>
      </c>
      <c r="E354" t="s">
        <v>59</v>
      </c>
      <c r="F354">
        <v>19393</v>
      </c>
      <c r="G354">
        <v>1550</v>
      </c>
      <c r="H354" t="s">
        <v>98</v>
      </c>
      <c r="I354" t="s">
        <v>99</v>
      </c>
      <c r="J354" t="s">
        <v>35</v>
      </c>
      <c r="K354" t="s">
        <v>36</v>
      </c>
      <c r="L354">
        <v>1720</v>
      </c>
      <c r="M354" s="2">
        <v>1818</v>
      </c>
      <c r="N354">
        <v>58</v>
      </c>
      <c r="O354" t="str">
        <f>IF(flights_sample_3m[[#This Row],[DEP_DELAY]]&lt;=15,"No delay",IF(flights_sample_3m[[#This Row],[DEP_DELAY]]&lt;=60,"Short Delay","Long Delay"))</f>
        <v>Short Delay</v>
      </c>
      <c r="P354" t="str">
        <f>IF(flights_sample_3m[[#This Row],[DEP_DELAY]]&lt;=15,"Delayed","On Time")</f>
        <v>On Time</v>
      </c>
      <c r="Q354">
        <v>12</v>
      </c>
      <c r="R354">
        <v>1830</v>
      </c>
      <c r="S354">
        <v>2039</v>
      </c>
      <c r="T354">
        <v>3</v>
      </c>
      <c r="U354">
        <v>1955</v>
      </c>
      <c r="V354" s="2">
        <v>2042</v>
      </c>
      <c r="W354">
        <v>47</v>
      </c>
      <c r="X354">
        <v>0</v>
      </c>
      <c r="Y354">
        <v>0</v>
      </c>
      <c r="Z354">
        <v>0</v>
      </c>
      <c r="AA354">
        <v>155</v>
      </c>
      <c r="AB354">
        <v>144</v>
      </c>
      <c r="AC354">
        <v>129</v>
      </c>
      <c r="AD354">
        <v>925</v>
      </c>
      <c r="AE354">
        <v>0</v>
      </c>
      <c r="AF354">
        <v>0</v>
      </c>
      <c r="AG354">
        <v>0</v>
      </c>
      <c r="AH354">
        <v>0</v>
      </c>
      <c r="AI354">
        <v>47</v>
      </c>
    </row>
    <row r="355" spans="1:35" x14ac:dyDescent="0.3">
      <c r="A355" s="1">
        <v>44799</v>
      </c>
      <c r="B355" s="1" t="str">
        <f>TEXT(flights_sample_3m[[#This Row],[FL_DATE]],"yyyy-mm")</f>
        <v>2022-08</v>
      </c>
      <c r="C355" t="s">
        <v>57</v>
      </c>
      <c r="D355" t="s">
        <v>58</v>
      </c>
      <c r="E355" t="s">
        <v>59</v>
      </c>
      <c r="F355">
        <v>19393</v>
      </c>
      <c r="G355">
        <v>2697</v>
      </c>
      <c r="H355" t="s">
        <v>85</v>
      </c>
      <c r="I355" t="s">
        <v>86</v>
      </c>
      <c r="J355" t="s">
        <v>60</v>
      </c>
      <c r="K355" t="s">
        <v>61</v>
      </c>
      <c r="L355">
        <v>820</v>
      </c>
      <c r="M355" s="2">
        <v>820</v>
      </c>
      <c r="N355">
        <v>0</v>
      </c>
      <c r="O355" t="str">
        <f>IF(flights_sample_3m[[#This Row],[DEP_DELAY]]&lt;=15,"No delay",IF(flights_sample_3m[[#This Row],[DEP_DELAY]]&lt;=60,"Short Delay","Long Delay"))</f>
        <v>No delay</v>
      </c>
      <c r="P355" t="str">
        <f>IF(flights_sample_3m[[#This Row],[DEP_DELAY]]&lt;=15,"Delayed","On Time")</f>
        <v>Delayed</v>
      </c>
      <c r="Q355">
        <v>24</v>
      </c>
      <c r="R355">
        <v>844</v>
      </c>
      <c r="S355">
        <v>922</v>
      </c>
      <c r="T355">
        <v>3</v>
      </c>
      <c r="U355">
        <v>925</v>
      </c>
      <c r="V355" s="2">
        <v>925</v>
      </c>
      <c r="W355">
        <v>0</v>
      </c>
      <c r="X355">
        <v>0</v>
      </c>
      <c r="Y355">
        <v>0</v>
      </c>
      <c r="Z355">
        <v>0</v>
      </c>
      <c r="AA355">
        <v>125</v>
      </c>
      <c r="AB355">
        <v>125</v>
      </c>
      <c r="AC355">
        <v>98</v>
      </c>
      <c r="AD355">
        <v>721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">
      <c r="A356" s="1">
        <v>44287</v>
      </c>
      <c r="B356" s="1" t="str">
        <f>TEXT(flights_sample_3m[[#This Row],[FL_DATE]],"yyyy-mm")</f>
        <v>2021-04</v>
      </c>
      <c r="C356" t="s">
        <v>148</v>
      </c>
      <c r="D356" t="s">
        <v>149</v>
      </c>
      <c r="E356" t="s">
        <v>150</v>
      </c>
      <c r="F356">
        <v>20304</v>
      </c>
      <c r="G356">
        <v>3370</v>
      </c>
      <c r="H356" t="s">
        <v>78</v>
      </c>
      <c r="I356" t="s">
        <v>79</v>
      </c>
      <c r="J356" t="s">
        <v>239</v>
      </c>
      <c r="K356" t="s">
        <v>240</v>
      </c>
      <c r="L356">
        <v>845</v>
      </c>
      <c r="M356" s="2">
        <v>843</v>
      </c>
      <c r="N356">
        <v>-2</v>
      </c>
      <c r="O356" t="str">
        <f>IF(flights_sample_3m[[#This Row],[DEP_DELAY]]&lt;=15,"No delay",IF(flights_sample_3m[[#This Row],[DEP_DELAY]]&lt;=60,"Short Delay","Long Delay"))</f>
        <v>No delay</v>
      </c>
      <c r="P356" t="str">
        <f>IF(flights_sample_3m[[#This Row],[DEP_DELAY]]&lt;=15,"Delayed","On Time")</f>
        <v>Delayed</v>
      </c>
      <c r="Q356">
        <v>18</v>
      </c>
      <c r="R356">
        <v>901</v>
      </c>
      <c r="S356">
        <v>1053</v>
      </c>
      <c r="T356">
        <v>5</v>
      </c>
      <c r="U356">
        <v>1113</v>
      </c>
      <c r="V356" s="2">
        <v>1058</v>
      </c>
      <c r="W356">
        <v>-15</v>
      </c>
      <c r="X356">
        <v>0</v>
      </c>
      <c r="Y356">
        <v>0</v>
      </c>
      <c r="Z356">
        <v>0</v>
      </c>
      <c r="AA356">
        <v>148</v>
      </c>
      <c r="AB356">
        <v>135</v>
      </c>
      <c r="AC356">
        <v>112</v>
      </c>
      <c r="AD356">
        <v>834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">
      <c r="A357" s="1">
        <v>44595</v>
      </c>
      <c r="B357" s="1" t="str">
        <f>TEXT(flights_sample_3m[[#This Row],[FL_DATE]],"yyyy-mm")</f>
        <v>2022-02</v>
      </c>
      <c r="C357" t="s">
        <v>148</v>
      </c>
      <c r="D357" t="s">
        <v>149</v>
      </c>
      <c r="E357" t="s">
        <v>150</v>
      </c>
      <c r="F357">
        <v>20304</v>
      </c>
      <c r="G357">
        <v>5083</v>
      </c>
      <c r="H357" t="s">
        <v>363</v>
      </c>
      <c r="I357" t="s">
        <v>364</v>
      </c>
      <c r="J357" t="s">
        <v>46</v>
      </c>
      <c r="K357" t="s">
        <v>47</v>
      </c>
      <c r="L357">
        <v>1200</v>
      </c>
      <c r="M357" s="2">
        <v>1151</v>
      </c>
      <c r="N357">
        <v>-9</v>
      </c>
      <c r="O357" t="str">
        <f>IF(flights_sample_3m[[#This Row],[DEP_DELAY]]&lt;=15,"No delay",IF(flights_sample_3m[[#This Row],[DEP_DELAY]]&lt;=60,"Short Delay","Long Delay"))</f>
        <v>No delay</v>
      </c>
      <c r="P357" t="str">
        <f>IF(flights_sample_3m[[#This Row],[DEP_DELAY]]&lt;=15,"Delayed","On Time")</f>
        <v>Delayed</v>
      </c>
      <c r="Q357">
        <v>9</v>
      </c>
      <c r="R357">
        <v>1200</v>
      </c>
      <c r="S357">
        <v>1150</v>
      </c>
      <c r="T357">
        <v>10</v>
      </c>
      <c r="U357">
        <v>1228</v>
      </c>
      <c r="V357" s="2">
        <v>1200</v>
      </c>
      <c r="W357">
        <v>-28</v>
      </c>
      <c r="X357">
        <v>0</v>
      </c>
      <c r="Y357">
        <v>0</v>
      </c>
      <c r="Z357">
        <v>0</v>
      </c>
      <c r="AA357">
        <v>88</v>
      </c>
      <c r="AB357">
        <v>69</v>
      </c>
      <c r="AC357">
        <v>50</v>
      </c>
      <c r="AD357">
        <v>298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">
      <c r="A358" s="1">
        <v>43559</v>
      </c>
      <c r="B358" s="1" t="str">
        <f>TEXT(flights_sample_3m[[#This Row],[FL_DATE]],"yyyy-mm")</f>
        <v>2019-04</v>
      </c>
      <c r="C358" t="s">
        <v>39</v>
      </c>
      <c r="D358" t="s">
        <v>40</v>
      </c>
      <c r="E358" t="s">
        <v>41</v>
      </c>
      <c r="F358">
        <v>19790</v>
      </c>
      <c r="G358">
        <v>2255</v>
      </c>
      <c r="H358" t="s">
        <v>85</v>
      </c>
      <c r="I358" t="s">
        <v>86</v>
      </c>
      <c r="J358" t="s">
        <v>205</v>
      </c>
      <c r="K358" t="s">
        <v>206</v>
      </c>
      <c r="L358">
        <v>904</v>
      </c>
      <c r="M358" s="2">
        <v>917</v>
      </c>
      <c r="N358">
        <v>13</v>
      </c>
      <c r="O358" t="str">
        <f>IF(flights_sample_3m[[#This Row],[DEP_DELAY]]&lt;=15,"No delay",IF(flights_sample_3m[[#This Row],[DEP_DELAY]]&lt;=60,"Short Delay","Long Delay"))</f>
        <v>No delay</v>
      </c>
      <c r="P358" t="str">
        <f>IF(flights_sample_3m[[#This Row],[DEP_DELAY]]&lt;=15,"Delayed","On Time")</f>
        <v>Delayed</v>
      </c>
      <c r="Q358">
        <v>9</v>
      </c>
      <c r="R358">
        <v>926</v>
      </c>
      <c r="S358">
        <v>1055</v>
      </c>
      <c r="T358">
        <v>2</v>
      </c>
      <c r="U358">
        <v>1106</v>
      </c>
      <c r="V358" s="2">
        <v>1057</v>
      </c>
      <c r="W358">
        <v>-9</v>
      </c>
      <c r="X358">
        <v>0</v>
      </c>
      <c r="Y358">
        <v>0</v>
      </c>
      <c r="Z358">
        <v>0</v>
      </c>
      <c r="AA358">
        <v>122</v>
      </c>
      <c r="AB358">
        <v>100</v>
      </c>
      <c r="AC358">
        <v>89</v>
      </c>
      <c r="AD358">
        <v>666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">
      <c r="A359" s="1">
        <v>44670</v>
      </c>
      <c r="B359" s="1" t="str">
        <f>TEXT(flights_sample_3m[[#This Row],[FL_DATE]],"yyyy-mm")</f>
        <v>2022-04</v>
      </c>
      <c r="C359" t="s">
        <v>167</v>
      </c>
      <c r="D359" t="s">
        <v>168</v>
      </c>
      <c r="E359" t="s">
        <v>169</v>
      </c>
      <c r="F359">
        <v>20363</v>
      </c>
      <c r="G359">
        <v>5291</v>
      </c>
      <c r="H359" t="s">
        <v>110</v>
      </c>
      <c r="I359" t="s">
        <v>111</v>
      </c>
      <c r="J359" t="s">
        <v>307</v>
      </c>
      <c r="K359" t="s">
        <v>308</v>
      </c>
      <c r="L359">
        <v>2200</v>
      </c>
      <c r="M359" s="2">
        <v>2207</v>
      </c>
      <c r="N359">
        <v>7</v>
      </c>
      <c r="O359" t="str">
        <f>IF(flights_sample_3m[[#This Row],[DEP_DELAY]]&lt;=15,"No delay",IF(flights_sample_3m[[#This Row],[DEP_DELAY]]&lt;=60,"Short Delay","Long Delay"))</f>
        <v>No delay</v>
      </c>
      <c r="P359" t="str">
        <f>IF(flights_sample_3m[[#This Row],[DEP_DELAY]]&lt;=15,"Delayed","On Time")</f>
        <v>Delayed</v>
      </c>
      <c r="Q359">
        <v>24</v>
      </c>
      <c r="R359">
        <v>2231</v>
      </c>
      <c r="S359">
        <v>2318</v>
      </c>
      <c r="T359">
        <v>5</v>
      </c>
      <c r="U359">
        <v>2332</v>
      </c>
      <c r="V359" s="2">
        <v>2323</v>
      </c>
      <c r="W359">
        <v>-9</v>
      </c>
      <c r="X359">
        <v>0</v>
      </c>
      <c r="Y359">
        <v>0</v>
      </c>
      <c r="Z359">
        <v>0</v>
      </c>
      <c r="AA359">
        <v>92</v>
      </c>
      <c r="AB359">
        <v>76</v>
      </c>
      <c r="AC359">
        <v>47</v>
      </c>
      <c r="AD359">
        <v>266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">
      <c r="A360" s="1">
        <v>43483</v>
      </c>
      <c r="B360" s="1" t="str">
        <f>TEXT(flights_sample_3m[[#This Row],[FL_DATE]],"yyyy-mm")</f>
        <v>2019-01</v>
      </c>
      <c r="C360" t="s">
        <v>39</v>
      </c>
      <c r="D360" t="s">
        <v>40</v>
      </c>
      <c r="E360" t="s">
        <v>41</v>
      </c>
      <c r="F360">
        <v>19790</v>
      </c>
      <c r="G360">
        <v>851</v>
      </c>
      <c r="H360" t="s">
        <v>85</v>
      </c>
      <c r="I360" t="s">
        <v>86</v>
      </c>
      <c r="J360" t="s">
        <v>365</v>
      </c>
      <c r="K360" t="s">
        <v>366</v>
      </c>
      <c r="L360">
        <v>1347</v>
      </c>
      <c r="M360" s="2">
        <v>1401</v>
      </c>
      <c r="N360">
        <v>14</v>
      </c>
      <c r="O360" t="str">
        <f>IF(flights_sample_3m[[#This Row],[DEP_DELAY]]&lt;=15,"No delay",IF(flights_sample_3m[[#This Row],[DEP_DELAY]]&lt;=60,"Short Delay","Long Delay"))</f>
        <v>No delay</v>
      </c>
      <c r="P360" t="str">
        <f>IF(flights_sample_3m[[#This Row],[DEP_DELAY]]&lt;=15,"Delayed","On Time")</f>
        <v>Delayed</v>
      </c>
      <c r="Q360">
        <v>12</v>
      </c>
      <c r="R360">
        <v>1413</v>
      </c>
      <c r="S360">
        <v>1530</v>
      </c>
      <c r="T360">
        <v>4</v>
      </c>
      <c r="U360">
        <v>1538</v>
      </c>
      <c r="V360" s="2">
        <v>1534</v>
      </c>
      <c r="W360">
        <v>-4</v>
      </c>
      <c r="X360">
        <v>0</v>
      </c>
      <c r="Y360">
        <v>0</v>
      </c>
      <c r="Z360">
        <v>0</v>
      </c>
      <c r="AA360">
        <v>111</v>
      </c>
      <c r="AB360">
        <v>93</v>
      </c>
      <c r="AC360">
        <v>77</v>
      </c>
      <c r="AD360">
        <v>545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">
      <c r="A361" s="1">
        <v>44687</v>
      </c>
      <c r="B361" s="1" t="str">
        <f>TEXT(flights_sample_3m[[#This Row],[FL_DATE]],"yyyy-mm")</f>
        <v>2022-05</v>
      </c>
      <c r="C361" t="s">
        <v>126</v>
      </c>
      <c r="D361" t="s">
        <v>127</v>
      </c>
      <c r="E361" t="s">
        <v>128</v>
      </c>
      <c r="F361">
        <v>20368</v>
      </c>
      <c r="G361">
        <v>731</v>
      </c>
      <c r="H361" t="s">
        <v>247</v>
      </c>
      <c r="I361" t="s">
        <v>248</v>
      </c>
      <c r="J361" t="s">
        <v>333</v>
      </c>
      <c r="K361" t="s">
        <v>334</v>
      </c>
      <c r="L361">
        <v>1657</v>
      </c>
      <c r="M361" s="2">
        <v>1726</v>
      </c>
      <c r="N361">
        <v>29</v>
      </c>
      <c r="O361" t="str">
        <f>IF(flights_sample_3m[[#This Row],[DEP_DELAY]]&lt;=15,"No delay",IF(flights_sample_3m[[#This Row],[DEP_DELAY]]&lt;=60,"Short Delay","Long Delay"))</f>
        <v>Short Delay</v>
      </c>
      <c r="P361" t="str">
        <f>IF(flights_sample_3m[[#This Row],[DEP_DELAY]]&lt;=15,"Delayed","On Time")</f>
        <v>On Time</v>
      </c>
      <c r="Q361">
        <v>16</v>
      </c>
      <c r="R361">
        <v>1742</v>
      </c>
      <c r="S361">
        <v>2012</v>
      </c>
      <c r="T361">
        <v>7</v>
      </c>
      <c r="U361">
        <v>1945</v>
      </c>
      <c r="V361" s="2">
        <v>2019</v>
      </c>
      <c r="W361">
        <v>34</v>
      </c>
      <c r="X361">
        <v>0</v>
      </c>
      <c r="Y361">
        <v>0</v>
      </c>
      <c r="Z361">
        <v>0</v>
      </c>
      <c r="AA361">
        <v>108</v>
      </c>
      <c r="AB361">
        <v>113</v>
      </c>
      <c r="AC361">
        <v>90</v>
      </c>
      <c r="AD361">
        <v>600</v>
      </c>
      <c r="AE361">
        <v>26</v>
      </c>
      <c r="AF361">
        <v>0</v>
      </c>
      <c r="AG361">
        <v>5</v>
      </c>
      <c r="AH361">
        <v>0</v>
      </c>
      <c r="AI361">
        <v>3</v>
      </c>
    </row>
    <row r="362" spans="1:35" x14ac:dyDescent="0.3">
      <c r="A362" s="1">
        <v>44274</v>
      </c>
      <c r="B362" s="1" t="str">
        <f>TEXT(flights_sample_3m[[#This Row],[FL_DATE]],"yyyy-mm")</f>
        <v>2021-03</v>
      </c>
      <c r="C362" t="s">
        <v>148</v>
      </c>
      <c r="D362" t="s">
        <v>149</v>
      </c>
      <c r="E362" t="s">
        <v>150</v>
      </c>
      <c r="F362">
        <v>20304</v>
      </c>
      <c r="G362">
        <v>3066</v>
      </c>
      <c r="H362" t="s">
        <v>367</v>
      </c>
      <c r="I362" t="s">
        <v>368</v>
      </c>
      <c r="J362" t="s">
        <v>106</v>
      </c>
      <c r="K362" t="s">
        <v>92</v>
      </c>
      <c r="L362">
        <v>1637</v>
      </c>
      <c r="M362" s="2">
        <v>1650</v>
      </c>
      <c r="N362">
        <v>13</v>
      </c>
      <c r="O362" t="str">
        <f>IF(flights_sample_3m[[#This Row],[DEP_DELAY]]&lt;=15,"No delay",IF(flights_sample_3m[[#This Row],[DEP_DELAY]]&lt;=60,"Short Delay","Long Delay"))</f>
        <v>No delay</v>
      </c>
      <c r="P362" t="str">
        <f>IF(flights_sample_3m[[#This Row],[DEP_DELAY]]&lt;=15,"Delayed","On Time")</f>
        <v>Delayed</v>
      </c>
      <c r="Q362">
        <v>12</v>
      </c>
      <c r="R362">
        <v>1702</v>
      </c>
      <c r="S362">
        <v>1725</v>
      </c>
      <c r="T362">
        <v>9</v>
      </c>
      <c r="U362">
        <v>1739</v>
      </c>
      <c r="V362" s="2">
        <v>1734</v>
      </c>
      <c r="W362">
        <v>-5</v>
      </c>
      <c r="X362">
        <v>0</v>
      </c>
      <c r="Y362">
        <v>0</v>
      </c>
      <c r="Z362">
        <v>0</v>
      </c>
      <c r="AA362">
        <v>122</v>
      </c>
      <c r="AB362">
        <v>104</v>
      </c>
      <c r="AC362">
        <v>83</v>
      </c>
      <c r="AD362">
        <v>528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">
      <c r="A363" s="1">
        <v>44371</v>
      </c>
      <c r="B363" s="1" t="str">
        <f>TEXT(flights_sample_3m[[#This Row],[FL_DATE]],"yyyy-mm")</f>
        <v>2021-06</v>
      </c>
      <c r="C363" t="s">
        <v>32</v>
      </c>
      <c r="D363" t="s">
        <v>33</v>
      </c>
      <c r="E363" t="s">
        <v>34</v>
      </c>
      <c r="F363">
        <v>19977</v>
      </c>
      <c r="G363">
        <v>1548</v>
      </c>
      <c r="H363" t="s">
        <v>78</v>
      </c>
      <c r="I363" t="s">
        <v>79</v>
      </c>
      <c r="J363" t="s">
        <v>48</v>
      </c>
      <c r="K363" t="s">
        <v>49</v>
      </c>
      <c r="L363">
        <v>1600</v>
      </c>
      <c r="M363" s="2">
        <v>1606</v>
      </c>
      <c r="N363">
        <v>6</v>
      </c>
      <c r="O363" t="str">
        <f>IF(flights_sample_3m[[#This Row],[DEP_DELAY]]&lt;=15,"No delay",IF(flights_sample_3m[[#This Row],[DEP_DELAY]]&lt;=60,"Short Delay","Long Delay"))</f>
        <v>No delay</v>
      </c>
      <c r="P363" t="str">
        <f>IF(flights_sample_3m[[#This Row],[DEP_DELAY]]&lt;=15,"Delayed","On Time")</f>
        <v>Delayed</v>
      </c>
      <c r="Q363">
        <v>43</v>
      </c>
      <c r="R363">
        <v>1649</v>
      </c>
      <c r="S363">
        <v>1745</v>
      </c>
      <c r="T363">
        <v>3</v>
      </c>
      <c r="U363">
        <v>1713</v>
      </c>
      <c r="V363" s="2">
        <v>1748</v>
      </c>
      <c r="W363">
        <v>35</v>
      </c>
      <c r="X363">
        <v>0</v>
      </c>
      <c r="Y363">
        <v>0</v>
      </c>
      <c r="Z363">
        <v>0</v>
      </c>
      <c r="AA363">
        <v>73</v>
      </c>
      <c r="AB363">
        <v>102</v>
      </c>
      <c r="AC363">
        <v>56</v>
      </c>
      <c r="AD363">
        <v>337</v>
      </c>
      <c r="AE363">
        <v>0</v>
      </c>
      <c r="AF363">
        <v>0</v>
      </c>
      <c r="AG363">
        <v>29</v>
      </c>
      <c r="AH363">
        <v>0</v>
      </c>
      <c r="AI363">
        <v>6</v>
      </c>
    </row>
    <row r="364" spans="1:35" x14ac:dyDescent="0.3">
      <c r="A364" s="1">
        <v>44937</v>
      </c>
      <c r="B364" s="1" t="str">
        <f>TEXT(flights_sample_3m[[#This Row],[FL_DATE]],"yyyy-mm")</f>
        <v>2023-01</v>
      </c>
      <c r="C364" t="s">
        <v>311</v>
      </c>
      <c r="D364" t="s">
        <v>312</v>
      </c>
      <c r="E364" t="s">
        <v>313</v>
      </c>
      <c r="F364">
        <v>19690</v>
      </c>
      <c r="G364">
        <v>45</v>
      </c>
      <c r="H364" t="s">
        <v>95</v>
      </c>
      <c r="I364" t="s">
        <v>96</v>
      </c>
      <c r="J364" t="s">
        <v>314</v>
      </c>
      <c r="K364" t="s">
        <v>315</v>
      </c>
      <c r="L364">
        <v>840</v>
      </c>
      <c r="M364" s="2">
        <v>854</v>
      </c>
      <c r="N364">
        <v>14</v>
      </c>
      <c r="O364" t="str">
        <f>IF(flights_sample_3m[[#This Row],[DEP_DELAY]]&lt;=15,"No delay",IF(flights_sample_3m[[#This Row],[DEP_DELAY]]&lt;=60,"Short Delay","Long Delay"))</f>
        <v>No delay</v>
      </c>
      <c r="P364" t="str">
        <f>IF(flights_sample_3m[[#This Row],[DEP_DELAY]]&lt;=15,"Delayed","On Time")</f>
        <v>Delayed</v>
      </c>
      <c r="Q364">
        <v>10</v>
      </c>
      <c r="R364">
        <v>904</v>
      </c>
      <c r="S364">
        <v>1248</v>
      </c>
      <c r="T364">
        <v>18</v>
      </c>
      <c r="U364">
        <v>1220</v>
      </c>
      <c r="V364" s="2">
        <v>1306</v>
      </c>
      <c r="W364">
        <v>46</v>
      </c>
      <c r="X364">
        <v>0</v>
      </c>
      <c r="Y364">
        <v>0</v>
      </c>
      <c r="Z364">
        <v>0</v>
      </c>
      <c r="AA364">
        <v>340</v>
      </c>
      <c r="AB364">
        <v>372</v>
      </c>
      <c r="AC364">
        <v>344</v>
      </c>
      <c r="AD364">
        <v>2355</v>
      </c>
      <c r="AE364">
        <v>32</v>
      </c>
      <c r="AF364">
        <v>14</v>
      </c>
      <c r="AG364">
        <v>0</v>
      </c>
      <c r="AH364">
        <v>0</v>
      </c>
      <c r="AI364">
        <v>0</v>
      </c>
    </row>
    <row r="365" spans="1:35" x14ac:dyDescent="0.3">
      <c r="A365" s="1">
        <v>44899</v>
      </c>
      <c r="B365" s="1" t="str">
        <f>TEXT(flights_sample_3m[[#This Row],[FL_DATE]],"yyyy-mm")</f>
        <v>2022-12</v>
      </c>
      <c r="C365" t="s">
        <v>57</v>
      </c>
      <c r="D365" t="s">
        <v>58</v>
      </c>
      <c r="E365" t="s">
        <v>59</v>
      </c>
      <c r="F365">
        <v>19393</v>
      </c>
      <c r="G365">
        <v>3299</v>
      </c>
      <c r="H365" t="s">
        <v>187</v>
      </c>
      <c r="I365" t="s">
        <v>188</v>
      </c>
      <c r="J365" t="s">
        <v>177</v>
      </c>
      <c r="K365" t="s">
        <v>111</v>
      </c>
      <c r="L365">
        <v>1035</v>
      </c>
      <c r="M365" s="2">
        <v>1044</v>
      </c>
      <c r="N365">
        <v>9</v>
      </c>
      <c r="O365" t="str">
        <f>IF(flights_sample_3m[[#This Row],[DEP_DELAY]]&lt;=15,"No delay",IF(flights_sample_3m[[#This Row],[DEP_DELAY]]&lt;=60,"Short Delay","Long Delay"))</f>
        <v>No delay</v>
      </c>
      <c r="P365" t="str">
        <f>IF(flights_sample_3m[[#This Row],[DEP_DELAY]]&lt;=15,"Delayed","On Time")</f>
        <v>Delayed</v>
      </c>
      <c r="Q365">
        <v>7</v>
      </c>
      <c r="R365">
        <v>1051</v>
      </c>
      <c r="S365">
        <v>1338</v>
      </c>
      <c r="T365">
        <v>4</v>
      </c>
      <c r="U365">
        <v>1355</v>
      </c>
      <c r="V365" s="2">
        <v>1342</v>
      </c>
      <c r="W365">
        <v>-13</v>
      </c>
      <c r="X365">
        <v>0</v>
      </c>
      <c r="Y365">
        <v>0</v>
      </c>
      <c r="Z365">
        <v>0</v>
      </c>
      <c r="AA365">
        <v>140</v>
      </c>
      <c r="AB365">
        <v>118</v>
      </c>
      <c r="AC365">
        <v>107</v>
      </c>
      <c r="AD365">
        <v>888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">
      <c r="A366" s="1">
        <v>44474</v>
      </c>
      <c r="B366" s="1" t="str">
        <f>TEXT(flights_sample_3m[[#This Row],[FL_DATE]],"yyyy-mm")</f>
        <v>2021-10</v>
      </c>
      <c r="C366" t="s">
        <v>39</v>
      </c>
      <c r="D366" t="s">
        <v>40</v>
      </c>
      <c r="E366" t="s">
        <v>41</v>
      </c>
      <c r="F366">
        <v>19790</v>
      </c>
      <c r="G366">
        <v>2510</v>
      </c>
      <c r="H366" t="s">
        <v>85</v>
      </c>
      <c r="I366" t="s">
        <v>86</v>
      </c>
      <c r="J366" t="s">
        <v>157</v>
      </c>
      <c r="K366" t="s">
        <v>158</v>
      </c>
      <c r="L366">
        <v>1724</v>
      </c>
      <c r="M366" s="2">
        <v>1909</v>
      </c>
      <c r="N366">
        <v>105</v>
      </c>
      <c r="O366" t="str">
        <f>IF(flights_sample_3m[[#This Row],[DEP_DELAY]]&lt;=15,"No delay",IF(flights_sample_3m[[#This Row],[DEP_DELAY]]&lt;=60,"Short Delay","Long Delay"))</f>
        <v>Long Delay</v>
      </c>
      <c r="P366" t="str">
        <f>IF(flights_sample_3m[[#This Row],[DEP_DELAY]]&lt;=15,"Delayed","On Time")</f>
        <v>On Time</v>
      </c>
      <c r="Q366">
        <v>8</v>
      </c>
      <c r="R366">
        <v>1917</v>
      </c>
      <c r="S366">
        <v>2029</v>
      </c>
      <c r="T366">
        <v>5</v>
      </c>
      <c r="U366">
        <v>1850</v>
      </c>
      <c r="V366" s="2">
        <v>2034</v>
      </c>
      <c r="W366">
        <v>104</v>
      </c>
      <c r="X366">
        <v>0</v>
      </c>
      <c r="Y366">
        <v>0</v>
      </c>
      <c r="Z366">
        <v>0</v>
      </c>
      <c r="AA366">
        <v>86</v>
      </c>
      <c r="AB366">
        <v>85</v>
      </c>
      <c r="AC366">
        <v>72</v>
      </c>
      <c r="AD366">
        <v>432</v>
      </c>
      <c r="AE366">
        <v>0</v>
      </c>
      <c r="AF366">
        <v>104</v>
      </c>
      <c r="AG366">
        <v>0</v>
      </c>
      <c r="AH366">
        <v>0</v>
      </c>
      <c r="AI366">
        <v>0</v>
      </c>
    </row>
    <row r="367" spans="1:35" x14ac:dyDescent="0.3">
      <c r="A367" s="1">
        <v>44498</v>
      </c>
      <c r="B367" s="1" t="str">
        <f>TEXT(flights_sample_3m[[#This Row],[FL_DATE]],"yyyy-mm")</f>
        <v>2021-10</v>
      </c>
      <c r="C367" t="s">
        <v>64</v>
      </c>
      <c r="D367" t="s">
        <v>65</v>
      </c>
      <c r="E367" t="s">
        <v>66</v>
      </c>
      <c r="F367">
        <v>19805</v>
      </c>
      <c r="G367">
        <v>1449</v>
      </c>
      <c r="H367" t="s">
        <v>53</v>
      </c>
      <c r="I367" t="s">
        <v>54</v>
      </c>
      <c r="J367" t="s">
        <v>221</v>
      </c>
      <c r="K367" t="s">
        <v>222</v>
      </c>
      <c r="L367">
        <v>2120</v>
      </c>
      <c r="M367" s="2">
        <v>2142</v>
      </c>
      <c r="N367">
        <v>22</v>
      </c>
      <c r="O367" t="str">
        <f>IF(flights_sample_3m[[#This Row],[DEP_DELAY]]&lt;=15,"No delay",IF(flights_sample_3m[[#This Row],[DEP_DELAY]]&lt;=60,"Short Delay","Long Delay"))</f>
        <v>Short Delay</v>
      </c>
      <c r="P367" t="str">
        <f>IF(flights_sample_3m[[#This Row],[DEP_DELAY]]&lt;=15,"Delayed","On Time")</f>
        <v>On Time</v>
      </c>
      <c r="Q367">
        <v>24</v>
      </c>
      <c r="R367">
        <v>2206</v>
      </c>
      <c r="S367">
        <v>2245</v>
      </c>
      <c r="T367">
        <v>12</v>
      </c>
      <c r="U367">
        <v>2229</v>
      </c>
      <c r="V367" s="2">
        <v>2257</v>
      </c>
      <c r="W367">
        <v>28</v>
      </c>
      <c r="X367">
        <v>0</v>
      </c>
      <c r="Y367">
        <v>0</v>
      </c>
      <c r="Z367">
        <v>0</v>
      </c>
      <c r="AA367">
        <v>69</v>
      </c>
      <c r="AB367">
        <v>75</v>
      </c>
      <c r="AC367">
        <v>39</v>
      </c>
      <c r="AD367">
        <v>192</v>
      </c>
      <c r="AE367">
        <v>0</v>
      </c>
      <c r="AF367">
        <v>0</v>
      </c>
      <c r="AG367">
        <v>6</v>
      </c>
      <c r="AH367">
        <v>0</v>
      </c>
      <c r="AI367">
        <v>22</v>
      </c>
    </row>
    <row r="368" spans="1:35" x14ac:dyDescent="0.3">
      <c r="A368" s="1">
        <v>43826</v>
      </c>
      <c r="B368" s="1" t="str">
        <f>TEXT(flights_sample_3m[[#This Row],[FL_DATE]],"yyyy-mm")</f>
        <v>2019-12</v>
      </c>
      <c r="C368" t="s">
        <v>80</v>
      </c>
      <c r="D368" t="s">
        <v>81</v>
      </c>
      <c r="E368" t="s">
        <v>82</v>
      </c>
      <c r="F368">
        <v>19930</v>
      </c>
      <c r="G368">
        <v>796</v>
      </c>
      <c r="H368" t="s">
        <v>44</v>
      </c>
      <c r="I368" t="s">
        <v>45</v>
      </c>
      <c r="J368" t="s">
        <v>102</v>
      </c>
      <c r="K368" t="s">
        <v>103</v>
      </c>
      <c r="L368">
        <v>1725</v>
      </c>
      <c r="M368" s="2">
        <v>1722</v>
      </c>
      <c r="N368">
        <v>-3</v>
      </c>
      <c r="O368" t="str">
        <f>IF(flights_sample_3m[[#This Row],[DEP_DELAY]]&lt;=15,"No delay",IF(flights_sample_3m[[#This Row],[DEP_DELAY]]&lt;=60,"Short Delay","Long Delay"))</f>
        <v>No delay</v>
      </c>
      <c r="P368" t="str">
        <f>IF(flights_sample_3m[[#This Row],[DEP_DELAY]]&lt;=15,"Delayed","On Time")</f>
        <v>Delayed</v>
      </c>
      <c r="Q368">
        <v>15</v>
      </c>
      <c r="R368">
        <v>1737</v>
      </c>
      <c r="S368">
        <v>2346</v>
      </c>
      <c r="T368">
        <v>3</v>
      </c>
      <c r="U368">
        <v>2359</v>
      </c>
      <c r="V368" s="2">
        <v>2349</v>
      </c>
      <c r="W368">
        <v>-10</v>
      </c>
      <c r="X368">
        <v>0</v>
      </c>
      <c r="Y368">
        <v>0</v>
      </c>
      <c r="Z368">
        <v>0</v>
      </c>
      <c r="AA368">
        <v>274</v>
      </c>
      <c r="AB368">
        <v>267</v>
      </c>
      <c r="AC368">
        <v>249</v>
      </c>
      <c r="AD368">
        <v>2086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">
      <c r="A369" s="1">
        <v>44721</v>
      </c>
      <c r="B369" s="1" t="str">
        <f>TEXT(flights_sample_3m[[#This Row],[FL_DATE]],"yyyy-mm")</f>
        <v>2022-06</v>
      </c>
      <c r="C369" t="s">
        <v>107</v>
      </c>
      <c r="D369" t="s">
        <v>108</v>
      </c>
      <c r="E369" t="s">
        <v>109</v>
      </c>
      <c r="F369">
        <v>20409</v>
      </c>
      <c r="G369">
        <v>1319</v>
      </c>
      <c r="H369" t="s">
        <v>69</v>
      </c>
      <c r="I369" t="s">
        <v>70</v>
      </c>
      <c r="J369" t="s">
        <v>221</v>
      </c>
      <c r="K369" t="s">
        <v>222</v>
      </c>
      <c r="L369">
        <v>1408</v>
      </c>
      <c r="M369" s="2">
        <v>0</v>
      </c>
      <c r="N369">
        <v>0</v>
      </c>
      <c r="O369" t="str">
        <f>IF(flights_sample_3m[[#This Row],[DEP_DELAY]]&lt;=15,"No delay",IF(flights_sample_3m[[#This Row],[DEP_DELAY]]&lt;=60,"Short Delay","Long Delay"))</f>
        <v>No delay</v>
      </c>
      <c r="P369" t="str">
        <f>IF(flights_sample_3m[[#This Row],[DEP_DELAY]]&lt;=15,"Delayed","On Time")</f>
        <v>Delayed</v>
      </c>
      <c r="Q369">
        <v>0</v>
      </c>
      <c r="R369">
        <v>0</v>
      </c>
      <c r="S369">
        <v>0</v>
      </c>
      <c r="T369">
        <v>0</v>
      </c>
      <c r="U369">
        <v>1737</v>
      </c>
      <c r="V369" s="2">
        <v>0</v>
      </c>
      <c r="W369">
        <v>0</v>
      </c>
      <c r="X369">
        <v>1</v>
      </c>
      <c r="Y369" t="s">
        <v>302</v>
      </c>
      <c r="Z369">
        <v>0</v>
      </c>
      <c r="AA369">
        <v>209</v>
      </c>
      <c r="AB369">
        <v>0</v>
      </c>
      <c r="AC369">
        <v>0</v>
      </c>
      <c r="AD369">
        <v>1258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">
      <c r="A370" s="1">
        <v>44196</v>
      </c>
      <c r="B370" s="1" t="str">
        <f>TEXT(flights_sample_3m[[#This Row],[FL_DATE]],"yyyy-mm")</f>
        <v>2020-12</v>
      </c>
      <c r="C370" t="s">
        <v>107</v>
      </c>
      <c r="D370" t="s">
        <v>108</v>
      </c>
      <c r="E370" t="s">
        <v>109</v>
      </c>
      <c r="F370">
        <v>20409</v>
      </c>
      <c r="G370">
        <v>250</v>
      </c>
      <c r="H370" t="s">
        <v>329</v>
      </c>
      <c r="I370" t="s">
        <v>330</v>
      </c>
      <c r="J370" t="s">
        <v>69</v>
      </c>
      <c r="K370" t="s">
        <v>70</v>
      </c>
      <c r="L370">
        <v>1312</v>
      </c>
      <c r="M370" s="2">
        <v>1300</v>
      </c>
      <c r="N370">
        <v>-12</v>
      </c>
      <c r="O370" t="str">
        <f>IF(flights_sample_3m[[#This Row],[DEP_DELAY]]&lt;=15,"No delay",IF(flights_sample_3m[[#This Row],[DEP_DELAY]]&lt;=60,"Short Delay","Long Delay"))</f>
        <v>No delay</v>
      </c>
      <c r="P370" t="str">
        <f>IF(flights_sample_3m[[#This Row],[DEP_DELAY]]&lt;=15,"Delayed","On Time")</f>
        <v>Delayed</v>
      </c>
      <c r="Q370">
        <v>8</v>
      </c>
      <c r="R370">
        <v>1308</v>
      </c>
      <c r="S370">
        <v>1500</v>
      </c>
      <c r="T370">
        <v>4</v>
      </c>
      <c r="U370">
        <v>1525</v>
      </c>
      <c r="V370" s="2">
        <v>1504</v>
      </c>
      <c r="W370">
        <v>-21</v>
      </c>
      <c r="X370">
        <v>0</v>
      </c>
      <c r="Y370">
        <v>0</v>
      </c>
      <c r="Z370">
        <v>0</v>
      </c>
      <c r="AA370">
        <v>133</v>
      </c>
      <c r="AB370">
        <v>124</v>
      </c>
      <c r="AC370">
        <v>112</v>
      </c>
      <c r="AD370">
        <v>901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">
      <c r="A371" s="1">
        <v>43680</v>
      </c>
      <c r="B371" s="1" t="str">
        <f>TEXT(flights_sample_3m[[#This Row],[FL_DATE]],"yyyy-mm")</f>
        <v>2019-08</v>
      </c>
      <c r="C371" t="s">
        <v>148</v>
      </c>
      <c r="D371" t="s">
        <v>149</v>
      </c>
      <c r="E371" t="s">
        <v>150</v>
      </c>
      <c r="F371">
        <v>20304</v>
      </c>
      <c r="G371">
        <v>3781</v>
      </c>
      <c r="H371" t="s">
        <v>170</v>
      </c>
      <c r="I371" t="s">
        <v>171</v>
      </c>
      <c r="J371" t="s">
        <v>276</v>
      </c>
      <c r="K371" t="s">
        <v>277</v>
      </c>
      <c r="L371">
        <v>1010</v>
      </c>
      <c r="M371" s="2">
        <v>1005</v>
      </c>
      <c r="N371">
        <v>-5</v>
      </c>
      <c r="O371" t="str">
        <f>IF(flights_sample_3m[[#This Row],[DEP_DELAY]]&lt;=15,"No delay",IF(flights_sample_3m[[#This Row],[DEP_DELAY]]&lt;=60,"Short Delay","Long Delay"))</f>
        <v>No delay</v>
      </c>
      <c r="P371" t="str">
        <f>IF(flights_sample_3m[[#This Row],[DEP_DELAY]]&lt;=15,"Delayed","On Time")</f>
        <v>Delayed</v>
      </c>
      <c r="Q371">
        <v>14</v>
      </c>
      <c r="R371">
        <v>1019</v>
      </c>
      <c r="S371">
        <v>1122</v>
      </c>
      <c r="T371">
        <v>5</v>
      </c>
      <c r="U371">
        <v>1144</v>
      </c>
      <c r="V371" s="2">
        <v>1127</v>
      </c>
      <c r="W371">
        <v>-17</v>
      </c>
      <c r="X371">
        <v>0</v>
      </c>
      <c r="Y371">
        <v>0</v>
      </c>
      <c r="Z371">
        <v>0</v>
      </c>
      <c r="AA371">
        <v>94</v>
      </c>
      <c r="AB371">
        <v>82</v>
      </c>
      <c r="AC371">
        <v>63</v>
      </c>
      <c r="AD371">
        <v>489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">
      <c r="A372" s="1">
        <v>44681</v>
      </c>
      <c r="B372" s="1" t="str">
        <f>TEXT(flights_sample_3m[[#This Row],[FL_DATE]],"yyyy-mm")</f>
        <v>2022-04</v>
      </c>
      <c r="C372" t="s">
        <v>107</v>
      </c>
      <c r="D372" t="s">
        <v>108</v>
      </c>
      <c r="E372" t="s">
        <v>109</v>
      </c>
      <c r="F372">
        <v>20409</v>
      </c>
      <c r="G372">
        <v>1720</v>
      </c>
      <c r="H372" t="s">
        <v>53</v>
      </c>
      <c r="I372" t="s">
        <v>54</v>
      </c>
      <c r="J372" t="s">
        <v>69</v>
      </c>
      <c r="K372" t="s">
        <v>70</v>
      </c>
      <c r="L372">
        <v>600</v>
      </c>
      <c r="M372" s="2">
        <v>554</v>
      </c>
      <c r="N372">
        <v>-6</v>
      </c>
      <c r="O372" t="str">
        <f>IF(flights_sample_3m[[#This Row],[DEP_DELAY]]&lt;=15,"No delay",IF(flights_sample_3m[[#This Row],[DEP_DELAY]]&lt;=60,"Short Delay","Long Delay"))</f>
        <v>No delay</v>
      </c>
      <c r="P372" t="str">
        <f>IF(flights_sample_3m[[#This Row],[DEP_DELAY]]&lt;=15,"Delayed","On Time")</f>
        <v>Delayed</v>
      </c>
      <c r="Q372">
        <v>14</v>
      </c>
      <c r="R372">
        <v>608</v>
      </c>
      <c r="S372">
        <v>842</v>
      </c>
      <c r="T372">
        <v>6</v>
      </c>
      <c r="U372">
        <v>857</v>
      </c>
      <c r="V372" s="2">
        <v>848</v>
      </c>
      <c r="W372">
        <v>-9</v>
      </c>
      <c r="X372">
        <v>0</v>
      </c>
      <c r="Y372">
        <v>0</v>
      </c>
      <c r="Z372">
        <v>0</v>
      </c>
      <c r="AA372">
        <v>177</v>
      </c>
      <c r="AB372">
        <v>174</v>
      </c>
      <c r="AC372">
        <v>154</v>
      </c>
      <c r="AD372">
        <v>1121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">
      <c r="A373" s="1">
        <v>44545</v>
      </c>
      <c r="B373" s="1" t="str">
        <f>TEXT(flights_sample_3m[[#This Row],[FL_DATE]],"yyyy-mm")</f>
        <v>2021-12</v>
      </c>
      <c r="C373" t="s">
        <v>64</v>
      </c>
      <c r="D373" t="s">
        <v>65</v>
      </c>
      <c r="E373" t="s">
        <v>66</v>
      </c>
      <c r="F373">
        <v>19805</v>
      </c>
      <c r="G373">
        <v>1358</v>
      </c>
      <c r="H373" t="s">
        <v>170</v>
      </c>
      <c r="I373" t="s">
        <v>171</v>
      </c>
      <c r="J373" t="s">
        <v>123</v>
      </c>
      <c r="K373" t="s">
        <v>124</v>
      </c>
      <c r="L373">
        <v>1721</v>
      </c>
      <c r="M373" s="2">
        <v>1712</v>
      </c>
      <c r="N373">
        <v>-9</v>
      </c>
      <c r="O373" t="str">
        <f>IF(flights_sample_3m[[#This Row],[DEP_DELAY]]&lt;=15,"No delay",IF(flights_sample_3m[[#This Row],[DEP_DELAY]]&lt;=60,"Short Delay","Long Delay"))</f>
        <v>No delay</v>
      </c>
      <c r="P373" t="str">
        <f>IF(flights_sample_3m[[#This Row],[DEP_DELAY]]&lt;=15,"Delayed","On Time")</f>
        <v>Delayed</v>
      </c>
      <c r="Q373">
        <v>15</v>
      </c>
      <c r="R373">
        <v>1727</v>
      </c>
      <c r="S373">
        <v>1844</v>
      </c>
      <c r="T373">
        <v>9</v>
      </c>
      <c r="U373">
        <v>1919</v>
      </c>
      <c r="V373" s="2">
        <v>1853</v>
      </c>
      <c r="W373">
        <v>-26</v>
      </c>
      <c r="X373">
        <v>0</v>
      </c>
      <c r="Y373">
        <v>0</v>
      </c>
      <c r="Z373">
        <v>0</v>
      </c>
      <c r="AA373">
        <v>118</v>
      </c>
      <c r="AB373">
        <v>101</v>
      </c>
      <c r="AC373">
        <v>77</v>
      </c>
      <c r="AD373">
        <v>500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">
      <c r="A374" s="1">
        <v>44655</v>
      </c>
      <c r="B374" s="1" t="str">
        <f>TEXT(flights_sample_3m[[#This Row],[FL_DATE]],"yyyy-mm")</f>
        <v>2022-04</v>
      </c>
      <c r="C374" t="s">
        <v>57</v>
      </c>
      <c r="D374" t="s">
        <v>58</v>
      </c>
      <c r="E374" t="s">
        <v>59</v>
      </c>
      <c r="F374">
        <v>19393</v>
      </c>
      <c r="G374">
        <v>399</v>
      </c>
      <c r="H374" t="s">
        <v>129</v>
      </c>
      <c r="I374" t="s">
        <v>130</v>
      </c>
      <c r="J374" t="s">
        <v>48</v>
      </c>
      <c r="K374" t="s">
        <v>49</v>
      </c>
      <c r="L374">
        <v>2230</v>
      </c>
      <c r="M374" s="2">
        <v>2250</v>
      </c>
      <c r="N374">
        <v>20</v>
      </c>
      <c r="O374" t="str">
        <f>IF(flights_sample_3m[[#This Row],[DEP_DELAY]]&lt;=15,"No delay",IF(flights_sample_3m[[#This Row],[DEP_DELAY]]&lt;=60,"Short Delay","Long Delay"))</f>
        <v>Short Delay</v>
      </c>
      <c r="P374" t="str">
        <f>IF(flights_sample_3m[[#This Row],[DEP_DELAY]]&lt;=15,"Delayed","On Time")</f>
        <v>On Time</v>
      </c>
      <c r="Q374">
        <v>14</v>
      </c>
      <c r="R374">
        <v>2304</v>
      </c>
      <c r="S374">
        <v>15</v>
      </c>
      <c r="T374">
        <v>3</v>
      </c>
      <c r="U374">
        <v>2355</v>
      </c>
      <c r="V374" s="2">
        <v>18</v>
      </c>
      <c r="W374">
        <v>23</v>
      </c>
      <c r="X374">
        <v>0</v>
      </c>
      <c r="Y374">
        <v>0</v>
      </c>
      <c r="Z374">
        <v>0</v>
      </c>
      <c r="AA374">
        <v>85</v>
      </c>
      <c r="AB374">
        <v>88</v>
      </c>
      <c r="AC374">
        <v>71</v>
      </c>
      <c r="AD374">
        <v>414</v>
      </c>
      <c r="AE374">
        <v>18</v>
      </c>
      <c r="AF374">
        <v>0</v>
      </c>
      <c r="AG374">
        <v>3</v>
      </c>
      <c r="AH374">
        <v>0</v>
      </c>
      <c r="AI374">
        <v>2</v>
      </c>
    </row>
    <row r="375" spans="1:35" x14ac:dyDescent="0.3">
      <c r="A375" s="1">
        <v>43891</v>
      </c>
      <c r="B375" s="1" t="str">
        <f>TEXT(flights_sample_3m[[#This Row],[FL_DATE]],"yyyy-mm")</f>
        <v>2020-03</v>
      </c>
      <c r="C375" t="s">
        <v>57</v>
      </c>
      <c r="D375" t="s">
        <v>58</v>
      </c>
      <c r="E375" t="s">
        <v>59</v>
      </c>
      <c r="F375">
        <v>19393</v>
      </c>
      <c r="G375">
        <v>5487</v>
      </c>
      <c r="H375" t="s">
        <v>44</v>
      </c>
      <c r="I375" t="s">
        <v>45</v>
      </c>
      <c r="J375" t="s">
        <v>233</v>
      </c>
      <c r="K375" t="s">
        <v>234</v>
      </c>
      <c r="L375">
        <v>1610</v>
      </c>
      <c r="M375" s="2">
        <v>1611</v>
      </c>
      <c r="N375">
        <v>1</v>
      </c>
      <c r="O375" t="str">
        <f>IF(flights_sample_3m[[#This Row],[DEP_DELAY]]&lt;=15,"No delay",IF(flights_sample_3m[[#This Row],[DEP_DELAY]]&lt;=60,"Short Delay","Long Delay"))</f>
        <v>No delay</v>
      </c>
      <c r="P375" t="str">
        <f>IF(flights_sample_3m[[#This Row],[DEP_DELAY]]&lt;=15,"Delayed","On Time")</f>
        <v>Delayed</v>
      </c>
      <c r="Q375">
        <v>16</v>
      </c>
      <c r="R375">
        <v>1627</v>
      </c>
      <c r="S375">
        <v>1755</v>
      </c>
      <c r="T375">
        <v>5</v>
      </c>
      <c r="U375">
        <v>1815</v>
      </c>
      <c r="V375" s="2">
        <v>1800</v>
      </c>
      <c r="W375">
        <v>-15</v>
      </c>
      <c r="X375">
        <v>0</v>
      </c>
      <c r="Y375">
        <v>0</v>
      </c>
      <c r="Z375">
        <v>0</v>
      </c>
      <c r="AA375">
        <v>125</v>
      </c>
      <c r="AB375">
        <v>109</v>
      </c>
      <c r="AC375">
        <v>88</v>
      </c>
      <c r="AD375">
        <v>672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">
      <c r="A376" s="1">
        <v>44873</v>
      </c>
      <c r="B376" s="1" t="str">
        <f>TEXT(flights_sample_3m[[#This Row],[FL_DATE]],"yyyy-mm")</f>
        <v>2022-11</v>
      </c>
      <c r="C376" t="s">
        <v>57</v>
      </c>
      <c r="D376" t="s">
        <v>58</v>
      </c>
      <c r="E376" t="s">
        <v>59</v>
      </c>
      <c r="F376">
        <v>19393</v>
      </c>
      <c r="G376">
        <v>3052</v>
      </c>
      <c r="H376" t="s">
        <v>76</v>
      </c>
      <c r="I376" t="s">
        <v>77</v>
      </c>
      <c r="J376" t="s">
        <v>53</v>
      </c>
      <c r="K376" t="s">
        <v>54</v>
      </c>
      <c r="L376">
        <v>1510</v>
      </c>
      <c r="M376" s="2">
        <v>1506</v>
      </c>
      <c r="N376">
        <v>-4</v>
      </c>
      <c r="O376" t="str">
        <f>IF(flights_sample_3m[[#This Row],[DEP_DELAY]]&lt;=15,"No delay",IF(flights_sample_3m[[#This Row],[DEP_DELAY]]&lt;=60,"Short Delay","Long Delay"))</f>
        <v>No delay</v>
      </c>
      <c r="P376" t="str">
        <f>IF(flights_sample_3m[[#This Row],[DEP_DELAY]]&lt;=15,"Delayed","On Time")</f>
        <v>Delayed</v>
      </c>
      <c r="Q376">
        <v>6</v>
      </c>
      <c r="R376">
        <v>1512</v>
      </c>
      <c r="S376">
        <v>1814</v>
      </c>
      <c r="T376">
        <v>8</v>
      </c>
      <c r="U376">
        <v>1830</v>
      </c>
      <c r="V376" s="2">
        <v>1822</v>
      </c>
      <c r="W376">
        <v>-8</v>
      </c>
      <c r="X376">
        <v>0</v>
      </c>
      <c r="Y376">
        <v>0</v>
      </c>
      <c r="Z376">
        <v>0</v>
      </c>
      <c r="AA376">
        <v>140</v>
      </c>
      <c r="AB376">
        <v>136</v>
      </c>
      <c r="AC376">
        <v>122</v>
      </c>
      <c r="AD376">
        <v>854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">
      <c r="A377" s="1">
        <v>43720</v>
      </c>
      <c r="B377" s="1" t="str">
        <f>TEXT(flights_sample_3m[[#This Row],[FL_DATE]],"yyyy-mm")</f>
        <v>2019-09</v>
      </c>
      <c r="C377" t="s">
        <v>57</v>
      </c>
      <c r="D377" t="s">
        <v>58</v>
      </c>
      <c r="E377" t="s">
        <v>59</v>
      </c>
      <c r="F377">
        <v>19393</v>
      </c>
      <c r="G377">
        <v>207</v>
      </c>
      <c r="H377" t="s">
        <v>194</v>
      </c>
      <c r="I377" t="s">
        <v>195</v>
      </c>
      <c r="J377" t="s">
        <v>60</v>
      </c>
      <c r="K377" t="s">
        <v>61</v>
      </c>
      <c r="L377">
        <v>1835</v>
      </c>
      <c r="M377" s="2">
        <v>1833</v>
      </c>
      <c r="N377">
        <v>-2</v>
      </c>
      <c r="O377" t="str">
        <f>IF(flights_sample_3m[[#This Row],[DEP_DELAY]]&lt;=15,"No delay",IF(flights_sample_3m[[#This Row],[DEP_DELAY]]&lt;=60,"Short Delay","Long Delay"))</f>
        <v>No delay</v>
      </c>
      <c r="P377" t="str">
        <f>IF(flights_sample_3m[[#This Row],[DEP_DELAY]]&lt;=15,"Delayed","On Time")</f>
        <v>Delayed</v>
      </c>
      <c r="Q377">
        <v>11</v>
      </c>
      <c r="R377">
        <v>1844</v>
      </c>
      <c r="S377">
        <v>2318</v>
      </c>
      <c r="T377">
        <v>3</v>
      </c>
      <c r="U377">
        <v>2320</v>
      </c>
      <c r="V377" s="2">
        <v>2321</v>
      </c>
      <c r="W377">
        <v>1</v>
      </c>
      <c r="X377">
        <v>0</v>
      </c>
      <c r="Y377">
        <v>0</v>
      </c>
      <c r="Z377">
        <v>0</v>
      </c>
      <c r="AA377">
        <v>165</v>
      </c>
      <c r="AB377">
        <v>168</v>
      </c>
      <c r="AC377">
        <v>154</v>
      </c>
      <c r="AD377">
        <v>1182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">
      <c r="A378" s="1">
        <v>43863</v>
      </c>
      <c r="B378" s="1" t="str">
        <f>TEXT(flights_sample_3m[[#This Row],[FL_DATE]],"yyyy-mm")</f>
        <v>2020-02</v>
      </c>
      <c r="C378" t="s">
        <v>189</v>
      </c>
      <c r="D378" t="s">
        <v>190</v>
      </c>
      <c r="E378" t="s">
        <v>191</v>
      </c>
      <c r="F378">
        <v>20436</v>
      </c>
      <c r="G378">
        <v>2017</v>
      </c>
      <c r="H378" t="s">
        <v>369</v>
      </c>
      <c r="I378" t="s">
        <v>370</v>
      </c>
      <c r="J378" t="s">
        <v>129</v>
      </c>
      <c r="K378" t="s">
        <v>130</v>
      </c>
      <c r="L378">
        <v>600</v>
      </c>
      <c r="M378" s="2">
        <v>550</v>
      </c>
      <c r="N378">
        <v>-10</v>
      </c>
      <c r="O378" t="str">
        <f>IF(flights_sample_3m[[#This Row],[DEP_DELAY]]&lt;=15,"No delay",IF(flights_sample_3m[[#This Row],[DEP_DELAY]]&lt;=60,"Short Delay","Long Delay"))</f>
        <v>No delay</v>
      </c>
      <c r="P378" t="str">
        <f>IF(flights_sample_3m[[#This Row],[DEP_DELAY]]&lt;=15,"Delayed","On Time")</f>
        <v>Delayed</v>
      </c>
      <c r="Q378">
        <v>28</v>
      </c>
      <c r="R378">
        <v>618</v>
      </c>
      <c r="S378">
        <v>736</v>
      </c>
      <c r="T378">
        <v>8</v>
      </c>
      <c r="U378">
        <v>744</v>
      </c>
      <c r="V378" s="2">
        <v>744</v>
      </c>
      <c r="W378">
        <v>0</v>
      </c>
      <c r="X378">
        <v>0</v>
      </c>
      <c r="Y378">
        <v>0</v>
      </c>
      <c r="Z378">
        <v>0</v>
      </c>
      <c r="AA378">
        <v>284</v>
      </c>
      <c r="AB378">
        <v>294</v>
      </c>
      <c r="AC378">
        <v>258</v>
      </c>
      <c r="AD378">
        <v>1824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">
      <c r="A379" s="1">
        <v>43577</v>
      </c>
      <c r="B379" s="1" t="str">
        <f>TEXT(flights_sample_3m[[#This Row],[FL_DATE]],"yyyy-mm")</f>
        <v>2019-04</v>
      </c>
      <c r="C379" t="s">
        <v>148</v>
      </c>
      <c r="D379" t="s">
        <v>149</v>
      </c>
      <c r="E379" t="s">
        <v>150</v>
      </c>
      <c r="F379">
        <v>20304</v>
      </c>
      <c r="G379">
        <v>5549</v>
      </c>
      <c r="H379" t="s">
        <v>371</v>
      </c>
      <c r="I379" t="s">
        <v>372</v>
      </c>
      <c r="J379" t="s">
        <v>48</v>
      </c>
      <c r="K379" t="s">
        <v>49</v>
      </c>
      <c r="L379">
        <v>600</v>
      </c>
      <c r="M379" s="2">
        <v>601</v>
      </c>
      <c r="N379">
        <v>1</v>
      </c>
      <c r="O379" t="str">
        <f>IF(flights_sample_3m[[#This Row],[DEP_DELAY]]&lt;=15,"No delay",IF(flights_sample_3m[[#This Row],[DEP_DELAY]]&lt;=60,"Short Delay","Long Delay"))</f>
        <v>No delay</v>
      </c>
      <c r="P379" t="str">
        <f>IF(flights_sample_3m[[#This Row],[DEP_DELAY]]&lt;=15,"Delayed","On Time")</f>
        <v>Delayed</v>
      </c>
      <c r="Q379">
        <v>5</v>
      </c>
      <c r="R379">
        <v>606</v>
      </c>
      <c r="S379">
        <v>647</v>
      </c>
      <c r="T379">
        <v>2</v>
      </c>
      <c r="U379">
        <v>700</v>
      </c>
      <c r="V379" s="2">
        <v>649</v>
      </c>
      <c r="W379">
        <v>-11</v>
      </c>
      <c r="X379">
        <v>0</v>
      </c>
      <c r="Y379">
        <v>0</v>
      </c>
      <c r="Z379">
        <v>0</v>
      </c>
      <c r="AA379">
        <v>60</v>
      </c>
      <c r="AB379">
        <v>48</v>
      </c>
      <c r="AC379">
        <v>41</v>
      </c>
      <c r="AD379">
        <v>199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">
      <c r="A380" s="1">
        <v>45065</v>
      </c>
      <c r="B380" s="1" t="str">
        <f>TEXT(flights_sample_3m[[#This Row],[FL_DATE]],"yyyy-mm")</f>
        <v>2023-05</v>
      </c>
      <c r="C380" t="s">
        <v>32</v>
      </c>
      <c r="D380" t="s">
        <v>33</v>
      </c>
      <c r="E380" t="s">
        <v>34</v>
      </c>
      <c r="F380">
        <v>19977</v>
      </c>
      <c r="G380">
        <v>624</v>
      </c>
      <c r="H380" t="s">
        <v>309</v>
      </c>
      <c r="I380" t="s">
        <v>310</v>
      </c>
      <c r="J380" t="s">
        <v>46</v>
      </c>
      <c r="K380" t="s">
        <v>47</v>
      </c>
      <c r="L380">
        <v>1619</v>
      </c>
      <c r="M380" s="2">
        <v>1609</v>
      </c>
      <c r="N380">
        <v>-10</v>
      </c>
      <c r="O380" t="str">
        <f>IF(flights_sample_3m[[#This Row],[DEP_DELAY]]&lt;=15,"No delay",IF(flights_sample_3m[[#This Row],[DEP_DELAY]]&lt;=60,"Short Delay","Long Delay"))</f>
        <v>No delay</v>
      </c>
      <c r="P380" t="str">
        <f>IF(flights_sample_3m[[#This Row],[DEP_DELAY]]&lt;=15,"Delayed","On Time")</f>
        <v>Delayed</v>
      </c>
      <c r="Q380">
        <v>11</v>
      </c>
      <c r="R380">
        <v>1620</v>
      </c>
      <c r="S380">
        <v>1915</v>
      </c>
      <c r="T380">
        <v>14</v>
      </c>
      <c r="U380">
        <v>1940</v>
      </c>
      <c r="V380" s="2">
        <v>1929</v>
      </c>
      <c r="W380">
        <v>-11</v>
      </c>
      <c r="X380">
        <v>0</v>
      </c>
      <c r="Y380">
        <v>0</v>
      </c>
      <c r="Z380">
        <v>0</v>
      </c>
      <c r="AA380">
        <v>141</v>
      </c>
      <c r="AB380">
        <v>140</v>
      </c>
      <c r="AC380">
        <v>115</v>
      </c>
      <c r="AD380">
        <v>846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">
      <c r="A381" s="1">
        <v>44130</v>
      </c>
      <c r="B381" s="1" t="str">
        <f>TEXT(flights_sample_3m[[#This Row],[FL_DATE]],"yyyy-mm")</f>
        <v>2020-10</v>
      </c>
      <c r="C381" t="s">
        <v>39</v>
      </c>
      <c r="D381" t="s">
        <v>40</v>
      </c>
      <c r="E381" t="s">
        <v>41</v>
      </c>
      <c r="F381">
        <v>19790</v>
      </c>
      <c r="G381">
        <v>1081</v>
      </c>
      <c r="H381" t="s">
        <v>42</v>
      </c>
      <c r="I381" t="s">
        <v>43</v>
      </c>
      <c r="J381" t="s">
        <v>85</v>
      </c>
      <c r="K381" t="s">
        <v>86</v>
      </c>
      <c r="L381">
        <v>1245</v>
      </c>
      <c r="M381" s="2">
        <v>1242</v>
      </c>
      <c r="N381">
        <v>-3</v>
      </c>
      <c r="O381" t="str">
        <f>IF(flights_sample_3m[[#This Row],[DEP_DELAY]]&lt;=15,"No delay",IF(flights_sample_3m[[#This Row],[DEP_DELAY]]&lt;=60,"Short Delay","Long Delay"))</f>
        <v>No delay</v>
      </c>
      <c r="P381" t="str">
        <f>IF(flights_sample_3m[[#This Row],[DEP_DELAY]]&lt;=15,"Delayed","On Time")</f>
        <v>Delayed</v>
      </c>
      <c r="Q381">
        <v>12</v>
      </c>
      <c r="R381">
        <v>1254</v>
      </c>
      <c r="S381">
        <v>1556</v>
      </c>
      <c r="T381">
        <v>7</v>
      </c>
      <c r="U381">
        <v>1610</v>
      </c>
      <c r="V381" s="2">
        <v>1603</v>
      </c>
      <c r="W381">
        <v>-7</v>
      </c>
      <c r="X381">
        <v>0</v>
      </c>
      <c r="Y381">
        <v>0</v>
      </c>
      <c r="Z381">
        <v>0</v>
      </c>
      <c r="AA381">
        <v>145</v>
      </c>
      <c r="AB381">
        <v>141</v>
      </c>
      <c r="AC381">
        <v>122</v>
      </c>
      <c r="AD381">
        <v>907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">
      <c r="A382" s="1">
        <v>44133</v>
      </c>
      <c r="B382" s="1" t="str">
        <f>TEXT(flights_sample_3m[[#This Row],[FL_DATE]],"yyyy-mm")</f>
        <v>2020-10</v>
      </c>
      <c r="C382" t="s">
        <v>57</v>
      </c>
      <c r="D382" t="s">
        <v>58</v>
      </c>
      <c r="E382" t="s">
        <v>59</v>
      </c>
      <c r="F382">
        <v>19393</v>
      </c>
      <c r="G382">
        <v>2129</v>
      </c>
      <c r="H382" t="s">
        <v>327</v>
      </c>
      <c r="I382" t="s">
        <v>328</v>
      </c>
      <c r="J382" t="s">
        <v>233</v>
      </c>
      <c r="K382" t="s">
        <v>234</v>
      </c>
      <c r="L382">
        <v>845</v>
      </c>
      <c r="M382" s="2">
        <v>841</v>
      </c>
      <c r="N382">
        <v>-4</v>
      </c>
      <c r="O382" t="str">
        <f>IF(flights_sample_3m[[#This Row],[DEP_DELAY]]&lt;=15,"No delay",IF(flights_sample_3m[[#This Row],[DEP_DELAY]]&lt;=60,"Short Delay","Long Delay"))</f>
        <v>No delay</v>
      </c>
      <c r="P382" t="str">
        <f>IF(flights_sample_3m[[#This Row],[DEP_DELAY]]&lt;=15,"Delayed","On Time")</f>
        <v>Delayed</v>
      </c>
      <c r="Q382">
        <v>8</v>
      </c>
      <c r="R382">
        <v>849</v>
      </c>
      <c r="S382">
        <v>941</v>
      </c>
      <c r="T382">
        <v>6</v>
      </c>
      <c r="U382">
        <v>1000</v>
      </c>
      <c r="V382" s="2">
        <v>947</v>
      </c>
      <c r="W382">
        <v>-13</v>
      </c>
      <c r="X382">
        <v>0</v>
      </c>
      <c r="Y382">
        <v>0</v>
      </c>
      <c r="Z382">
        <v>0</v>
      </c>
      <c r="AA382">
        <v>75</v>
      </c>
      <c r="AB382">
        <v>66</v>
      </c>
      <c r="AC382">
        <v>52</v>
      </c>
      <c r="AD382">
        <v>353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">
      <c r="A383" s="1">
        <v>44918</v>
      </c>
      <c r="B383" s="1" t="str">
        <f>TEXT(flights_sample_3m[[#This Row],[FL_DATE]],"yyyy-mm")</f>
        <v>2022-12</v>
      </c>
      <c r="C383" t="s">
        <v>253</v>
      </c>
      <c r="D383" t="s">
        <v>254</v>
      </c>
      <c r="E383" t="s">
        <v>255</v>
      </c>
      <c r="F383">
        <v>19687</v>
      </c>
      <c r="G383">
        <v>2405</v>
      </c>
      <c r="H383" t="s">
        <v>373</v>
      </c>
      <c r="I383" t="s">
        <v>374</v>
      </c>
      <c r="J383" t="s">
        <v>83</v>
      </c>
      <c r="K383" t="s">
        <v>84</v>
      </c>
      <c r="L383">
        <v>600</v>
      </c>
      <c r="M383" s="2">
        <v>620</v>
      </c>
      <c r="N383">
        <v>20</v>
      </c>
      <c r="O383" t="str">
        <f>IF(flights_sample_3m[[#This Row],[DEP_DELAY]]&lt;=15,"No delay",IF(flights_sample_3m[[#This Row],[DEP_DELAY]]&lt;=60,"Short Delay","Long Delay"))</f>
        <v>Short Delay</v>
      </c>
      <c r="P383" t="str">
        <f>IF(flights_sample_3m[[#This Row],[DEP_DELAY]]&lt;=15,"Delayed","On Time")</f>
        <v>On Time</v>
      </c>
      <c r="Q383">
        <v>15</v>
      </c>
      <c r="R383">
        <v>635</v>
      </c>
      <c r="S383">
        <v>726</v>
      </c>
      <c r="T383">
        <v>2</v>
      </c>
      <c r="U383">
        <v>709</v>
      </c>
      <c r="V383" s="2">
        <v>728</v>
      </c>
      <c r="W383">
        <v>19</v>
      </c>
      <c r="X383">
        <v>0</v>
      </c>
      <c r="Y383">
        <v>0</v>
      </c>
      <c r="Z383">
        <v>0</v>
      </c>
      <c r="AA383">
        <v>69</v>
      </c>
      <c r="AB383">
        <v>68</v>
      </c>
      <c r="AC383">
        <v>51</v>
      </c>
      <c r="AD383">
        <v>261</v>
      </c>
      <c r="AE383">
        <v>0</v>
      </c>
      <c r="AF383">
        <v>19</v>
      </c>
      <c r="AG383">
        <v>0</v>
      </c>
      <c r="AH383">
        <v>0</v>
      </c>
      <c r="AI383">
        <v>0</v>
      </c>
    </row>
    <row r="384" spans="1:35" x14ac:dyDescent="0.3">
      <c r="A384" s="1">
        <v>44387</v>
      </c>
      <c r="B384" s="1" t="str">
        <f>TEXT(flights_sample_3m[[#This Row],[FL_DATE]],"yyyy-mm")</f>
        <v>2021-07</v>
      </c>
      <c r="C384" t="s">
        <v>64</v>
      </c>
      <c r="D384" t="s">
        <v>65</v>
      </c>
      <c r="E384" t="s">
        <v>66</v>
      </c>
      <c r="F384">
        <v>19805</v>
      </c>
      <c r="G384">
        <v>586</v>
      </c>
      <c r="H384" t="s">
        <v>239</v>
      </c>
      <c r="I384" t="s">
        <v>240</v>
      </c>
      <c r="J384" t="s">
        <v>55</v>
      </c>
      <c r="K384" t="s">
        <v>56</v>
      </c>
      <c r="L384">
        <v>2359</v>
      </c>
      <c r="M384" s="2">
        <v>2357</v>
      </c>
      <c r="N384">
        <v>-2</v>
      </c>
      <c r="O384" t="str">
        <f>IF(flights_sample_3m[[#This Row],[DEP_DELAY]]&lt;=15,"No delay",IF(flights_sample_3m[[#This Row],[DEP_DELAY]]&lt;=60,"Short Delay","Long Delay"))</f>
        <v>No delay</v>
      </c>
      <c r="P384" t="str">
        <f>IF(flights_sample_3m[[#This Row],[DEP_DELAY]]&lt;=15,"Delayed","On Time")</f>
        <v>Delayed</v>
      </c>
      <c r="Q384">
        <v>11</v>
      </c>
      <c r="R384">
        <v>8</v>
      </c>
      <c r="S384">
        <v>512</v>
      </c>
      <c r="T384">
        <v>7</v>
      </c>
      <c r="U384">
        <v>542</v>
      </c>
      <c r="V384" s="2">
        <v>519</v>
      </c>
      <c r="W384">
        <v>-23</v>
      </c>
      <c r="X384">
        <v>0</v>
      </c>
      <c r="Y384">
        <v>0</v>
      </c>
      <c r="Z384">
        <v>0</v>
      </c>
      <c r="AA384">
        <v>223</v>
      </c>
      <c r="AB384">
        <v>202</v>
      </c>
      <c r="AC384">
        <v>184</v>
      </c>
      <c r="AD384">
        <v>1616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">
      <c r="A385" s="1">
        <v>43923</v>
      </c>
      <c r="B385" s="1" t="str">
        <f>TEXT(flights_sample_3m[[#This Row],[FL_DATE]],"yyyy-mm")</f>
        <v>2020-04</v>
      </c>
      <c r="C385" t="s">
        <v>198</v>
      </c>
      <c r="D385" t="s">
        <v>199</v>
      </c>
      <c r="E385" t="s">
        <v>200</v>
      </c>
      <c r="F385">
        <v>20378</v>
      </c>
      <c r="G385">
        <v>6011</v>
      </c>
      <c r="H385" t="s">
        <v>125</v>
      </c>
      <c r="I385" t="s">
        <v>68</v>
      </c>
      <c r="J385" t="s">
        <v>123</v>
      </c>
      <c r="K385" t="s">
        <v>124</v>
      </c>
      <c r="L385">
        <v>815</v>
      </c>
      <c r="M385" s="2">
        <v>0</v>
      </c>
      <c r="N385">
        <v>0</v>
      </c>
      <c r="O385" t="str">
        <f>IF(flights_sample_3m[[#This Row],[DEP_DELAY]]&lt;=15,"No delay",IF(flights_sample_3m[[#This Row],[DEP_DELAY]]&lt;=60,"Short Delay","Long Delay"))</f>
        <v>No delay</v>
      </c>
      <c r="P385" t="str">
        <f>IF(flights_sample_3m[[#This Row],[DEP_DELAY]]&lt;=15,"Delayed","On Time")</f>
        <v>Delayed</v>
      </c>
      <c r="Q385">
        <v>0</v>
      </c>
      <c r="R385">
        <v>0</v>
      </c>
      <c r="S385">
        <v>0</v>
      </c>
      <c r="T385">
        <v>0</v>
      </c>
      <c r="U385">
        <v>944</v>
      </c>
      <c r="V385" s="2">
        <v>0</v>
      </c>
      <c r="W385">
        <v>0</v>
      </c>
      <c r="X385">
        <v>1</v>
      </c>
      <c r="Y385" t="s">
        <v>97</v>
      </c>
      <c r="Z385">
        <v>0</v>
      </c>
      <c r="AA385">
        <v>89</v>
      </c>
      <c r="AB385">
        <v>0</v>
      </c>
      <c r="AC385">
        <v>0</v>
      </c>
      <c r="AD385">
        <v>322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">
      <c r="A386" s="1">
        <v>44817</v>
      </c>
      <c r="B386" s="1" t="str">
        <f>TEXT(flights_sample_3m[[#This Row],[FL_DATE]],"yyyy-mm")</f>
        <v>2022-09</v>
      </c>
      <c r="C386" t="s">
        <v>107</v>
      </c>
      <c r="D386" t="s">
        <v>108</v>
      </c>
      <c r="E386" t="s">
        <v>109</v>
      </c>
      <c r="F386">
        <v>20409</v>
      </c>
      <c r="G386">
        <v>1485</v>
      </c>
      <c r="H386" t="s">
        <v>69</v>
      </c>
      <c r="I386" t="s">
        <v>70</v>
      </c>
      <c r="J386" t="s">
        <v>262</v>
      </c>
      <c r="K386" t="s">
        <v>263</v>
      </c>
      <c r="L386">
        <v>915</v>
      </c>
      <c r="M386" s="2">
        <v>913</v>
      </c>
      <c r="N386">
        <v>-2</v>
      </c>
      <c r="O386" t="str">
        <f>IF(flights_sample_3m[[#This Row],[DEP_DELAY]]&lt;=15,"No delay",IF(flights_sample_3m[[#This Row],[DEP_DELAY]]&lt;=60,"Short Delay","Long Delay"))</f>
        <v>No delay</v>
      </c>
      <c r="P386" t="str">
        <f>IF(flights_sample_3m[[#This Row],[DEP_DELAY]]&lt;=15,"Delayed","On Time")</f>
        <v>Delayed</v>
      </c>
      <c r="Q386">
        <v>18</v>
      </c>
      <c r="R386">
        <v>931</v>
      </c>
      <c r="S386">
        <v>1102</v>
      </c>
      <c r="T386">
        <v>4</v>
      </c>
      <c r="U386">
        <v>1058</v>
      </c>
      <c r="V386" s="2">
        <v>1106</v>
      </c>
      <c r="W386">
        <v>8</v>
      </c>
      <c r="X386">
        <v>0</v>
      </c>
      <c r="Y386">
        <v>0</v>
      </c>
      <c r="Z386">
        <v>0</v>
      </c>
      <c r="AA386">
        <v>103</v>
      </c>
      <c r="AB386">
        <v>113</v>
      </c>
      <c r="AC386">
        <v>91</v>
      </c>
      <c r="AD386">
        <v>496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">
      <c r="A387" s="1">
        <v>43741</v>
      </c>
      <c r="B387" s="1" t="str">
        <f>TEXT(flights_sample_3m[[#This Row],[FL_DATE]],"yyyy-mm")</f>
        <v>2019-10</v>
      </c>
      <c r="C387" t="s">
        <v>133</v>
      </c>
      <c r="D387" t="s">
        <v>134</v>
      </c>
      <c r="E387" t="s">
        <v>135</v>
      </c>
      <c r="F387">
        <v>20366</v>
      </c>
      <c r="G387">
        <v>4257</v>
      </c>
      <c r="H387" t="s">
        <v>231</v>
      </c>
      <c r="I387" t="s">
        <v>232</v>
      </c>
      <c r="J387" t="s">
        <v>37</v>
      </c>
      <c r="K387" t="s">
        <v>38</v>
      </c>
      <c r="L387">
        <v>1745</v>
      </c>
      <c r="M387" s="2">
        <v>1742</v>
      </c>
      <c r="N387">
        <v>-3</v>
      </c>
      <c r="O387" t="str">
        <f>IF(flights_sample_3m[[#This Row],[DEP_DELAY]]&lt;=15,"No delay",IF(flights_sample_3m[[#This Row],[DEP_DELAY]]&lt;=60,"Short Delay","Long Delay"))</f>
        <v>No delay</v>
      </c>
      <c r="P387" t="str">
        <f>IF(flights_sample_3m[[#This Row],[DEP_DELAY]]&lt;=15,"Delayed","On Time")</f>
        <v>Delayed</v>
      </c>
      <c r="Q387">
        <v>131</v>
      </c>
      <c r="R387">
        <v>1953</v>
      </c>
      <c r="S387">
        <v>2037</v>
      </c>
      <c r="T387">
        <v>12</v>
      </c>
      <c r="U387">
        <v>1921</v>
      </c>
      <c r="V387" s="2">
        <v>2049</v>
      </c>
      <c r="W387">
        <v>88</v>
      </c>
      <c r="X387">
        <v>0</v>
      </c>
      <c r="Y387">
        <v>0</v>
      </c>
      <c r="Z387">
        <v>0</v>
      </c>
      <c r="AA387">
        <v>96</v>
      </c>
      <c r="AB387">
        <v>187</v>
      </c>
      <c r="AC387">
        <v>44</v>
      </c>
      <c r="AD387">
        <v>277</v>
      </c>
      <c r="AE387">
        <v>0</v>
      </c>
      <c r="AF387">
        <v>0</v>
      </c>
      <c r="AG387">
        <v>88</v>
      </c>
      <c r="AH387">
        <v>0</v>
      </c>
      <c r="AI387">
        <v>0</v>
      </c>
    </row>
    <row r="388" spans="1:35" x14ac:dyDescent="0.3">
      <c r="A388" s="1">
        <v>44479</v>
      </c>
      <c r="B388" s="1" t="str">
        <f>TEXT(flights_sample_3m[[#This Row],[FL_DATE]],"yyyy-mm")</f>
        <v>2021-10</v>
      </c>
      <c r="C388" t="s">
        <v>148</v>
      </c>
      <c r="D388" t="s">
        <v>149</v>
      </c>
      <c r="E388" t="s">
        <v>150</v>
      </c>
      <c r="F388">
        <v>20304</v>
      </c>
      <c r="G388">
        <v>3619</v>
      </c>
      <c r="H388" t="s">
        <v>106</v>
      </c>
      <c r="I388" t="s">
        <v>92</v>
      </c>
      <c r="J388" t="s">
        <v>170</v>
      </c>
      <c r="K388" t="s">
        <v>171</v>
      </c>
      <c r="L388">
        <v>1425</v>
      </c>
      <c r="M388" s="2">
        <v>1510</v>
      </c>
      <c r="N388">
        <v>45</v>
      </c>
      <c r="O388" t="str">
        <f>IF(flights_sample_3m[[#This Row],[DEP_DELAY]]&lt;=15,"No delay",IF(flights_sample_3m[[#This Row],[DEP_DELAY]]&lt;=60,"Short Delay","Long Delay"))</f>
        <v>Short Delay</v>
      </c>
      <c r="P388" t="str">
        <f>IF(flights_sample_3m[[#This Row],[DEP_DELAY]]&lt;=15,"Delayed","On Time")</f>
        <v>On Time</v>
      </c>
      <c r="Q388">
        <v>17</v>
      </c>
      <c r="R388">
        <v>1527</v>
      </c>
      <c r="S388">
        <v>1712</v>
      </c>
      <c r="T388">
        <v>9</v>
      </c>
      <c r="U388">
        <v>1642</v>
      </c>
      <c r="V388" s="2">
        <v>1721</v>
      </c>
      <c r="W388">
        <v>39</v>
      </c>
      <c r="X388">
        <v>0</v>
      </c>
      <c r="Y388">
        <v>0</v>
      </c>
      <c r="Z388">
        <v>0</v>
      </c>
      <c r="AA388">
        <v>77</v>
      </c>
      <c r="AB388">
        <v>71</v>
      </c>
      <c r="AC388">
        <v>45</v>
      </c>
      <c r="AD388">
        <v>235</v>
      </c>
      <c r="AE388">
        <v>0</v>
      </c>
      <c r="AF388">
        <v>39</v>
      </c>
      <c r="AG388">
        <v>0</v>
      </c>
      <c r="AH388">
        <v>0</v>
      </c>
      <c r="AI388">
        <v>0</v>
      </c>
    </row>
    <row r="389" spans="1:35" x14ac:dyDescent="0.3">
      <c r="A389" s="1">
        <v>43513</v>
      </c>
      <c r="B389" s="1" t="str">
        <f>TEXT(flights_sample_3m[[#This Row],[FL_DATE]],"yyyy-mm")</f>
        <v>2019-02</v>
      </c>
      <c r="C389" t="s">
        <v>57</v>
      </c>
      <c r="D389" t="s">
        <v>58</v>
      </c>
      <c r="E389" t="s">
        <v>59</v>
      </c>
      <c r="F389">
        <v>19393</v>
      </c>
      <c r="G389">
        <v>713</v>
      </c>
      <c r="H389" t="s">
        <v>233</v>
      </c>
      <c r="I389" t="s">
        <v>234</v>
      </c>
      <c r="J389" t="s">
        <v>194</v>
      </c>
      <c r="K389" t="s">
        <v>195</v>
      </c>
      <c r="L389">
        <v>615</v>
      </c>
      <c r="M389" s="2">
        <v>611</v>
      </c>
      <c r="N389">
        <v>-4</v>
      </c>
      <c r="O389" t="str">
        <f>IF(flights_sample_3m[[#This Row],[DEP_DELAY]]&lt;=15,"No delay",IF(flights_sample_3m[[#This Row],[DEP_DELAY]]&lt;=60,"Short Delay","Long Delay"))</f>
        <v>No delay</v>
      </c>
      <c r="P389" t="str">
        <f>IF(flights_sample_3m[[#This Row],[DEP_DELAY]]&lt;=15,"Delayed","On Time")</f>
        <v>Delayed</v>
      </c>
      <c r="Q389">
        <v>16</v>
      </c>
      <c r="R389">
        <v>627</v>
      </c>
      <c r="S389">
        <v>728</v>
      </c>
      <c r="T389">
        <v>2</v>
      </c>
      <c r="U389">
        <v>745</v>
      </c>
      <c r="V389" s="2">
        <v>730</v>
      </c>
      <c r="W389">
        <v>-15</v>
      </c>
      <c r="X389">
        <v>0</v>
      </c>
      <c r="Y389">
        <v>0</v>
      </c>
      <c r="Z389">
        <v>0</v>
      </c>
      <c r="AA389">
        <v>90</v>
      </c>
      <c r="AB389">
        <v>79</v>
      </c>
      <c r="AC389">
        <v>61</v>
      </c>
      <c r="AD389">
        <v>446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">
      <c r="A390" s="1">
        <v>44547</v>
      </c>
      <c r="B390" s="1" t="str">
        <f>TEXT(flights_sample_3m[[#This Row],[FL_DATE]],"yyyy-mm")</f>
        <v>2021-12</v>
      </c>
      <c r="C390" t="s">
        <v>182</v>
      </c>
      <c r="D390" t="s">
        <v>183</v>
      </c>
      <c r="E390" t="s">
        <v>184</v>
      </c>
      <c r="F390">
        <v>20398</v>
      </c>
      <c r="G390">
        <v>4311</v>
      </c>
      <c r="H390" t="s">
        <v>55</v>
      </c>
      <c r="I390" t="s">
        <v>56</v>
      </c>
      <c r="J390" t="s">
        <v>292</v>
      </c>
      <c r="K390" t="s">
        <v>293</v>
      </c>
      <c r="L390">
        <v>1650</v>
      </c>
      <c r="M390" s="2">
        <v>1648</v>
      </c>
      <c r="N390">
        <v>-2</v>
      </c>
      <c r="O390" t="str">
        <f>IF(flights_sample_3m[[#This Row],[DEP_DELAY]]&lt;=15,"No delay",IF(flights_sample_3m[[#This Row],[DEP_DELAY]]&lt;=60,"Short Delay","Long Delay"))</f>
        <v>No delay</v>
      </c>
      <c r="P390" t="str">
        <f>IF(flights_sample_3m[[#This Row],[DEP_DELAY]]&lt;=15,"Delayed","On Time")</f>
        <v>Delayed</v>
      </c>
      <c r="Q390">
        <v>18</v>
      </c>
      <c r="R390">
        <v>1706</v>
      </c>
      <c r="S390">
        <v>1739</v>
      </c>
      <c r="T390">
        <v>4</v>
      </c>
      <c r="U390">
        <v>1750</v>
      </c>
      <c r="V390" s="2">
        <v>1743</v>
      </c>
      <c r="W390">
        <v>-7</v>
      </c>
      <c r="X390">
        <v>0</v>
      </c>
      <c r="Y390">
        <v>0</v>
      </c>
      <c r="Z390">
        <v>0</v>
      </c>
      <c r="AA390">
        <v>60</v>
      </c>
      <c r="AB390">
        <v>55</v>
      </c>
      <c r="AC390">
        <v>33</v>
      </c>
      <c r="AD390">
        <v>158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">
      <c r="A391" s="1">
        <v>44914</v>
      </c>
      <c r="B391" s="1" t="str">
        <f>TEXT(flights_sample_3m[[#This Row],[FL_DATE]],"yyyy-mm")</f>
        <v>2022-12</v>
      </c>
      <c r="C391" t="s">
        <v>107</v>
      </c>
      <c r="D391" t="s">
        <v>108</v>
      </c>
      <c r="E391" t="s">
        <v>109</v>
      </c>
      <c r="F391">
        <v>20409</v>
      </c>
      <c r="G391">
        <v>215</v>
      </c>
      <c r="H391" t="s">
        <v>69</v>
      </c>
      <c r="I391" t="s">
        <v>70</v>
      </c>
      <c r="J391" t="s">
        <v>55</v>
      </c>
      <c r="K391" t="s">
        <v>56</v>
      </c>
      <c r="L391">
        <v>1035</v>
      </c>
      <c r="M391" s="2">
        <v>1101</v>
      </c>
      <c r="N391">
        <v>26</v>
      </c>
      <c r="O391" t="str">
        <f>IF(flights_sample_3m[[#This Row],[DEP_DELAY]]&lt;=15,"No delay",IF(flights_sample_3m[[#This Row],[DEP_DELAY]]&lt;=60,"Short Delay","Long Delay"))</f>
        <v>Short Delay</v>
      </c>
      <c r="P391" t="str">
        <f>IF(flights_sample_3m[[#This Row],[DEP_DELAY]]&lt;=15,"Delayed","On Time")</f>
        <v>On Time</v>
      </c>
      <c r="Q391">
        <v>18</v>
      </c>
      <c r="R391">
        <v>1119</v>
      </c>
      <c r="S391">
        <v>1425</v>
      </c>
      <c r="T391">
        <v>10</v>
      </c>
      <c r="U391">
        <v>1409</v>
      </c>
      <c r="V391" s="2">
        <v>1435</v>
      </c>
      <c r="W391">
        <v>26</v>
      </c>
      <c r="X391">
        <v>0</v>
      </c>
      <c r="Y391">
        <v>0</v>
      </c>
      <c r="Z391">
        <v>0</v>
      </c>
      <c r="AA391">
        <v>274</v>
      </c>
      <c r="AB391">
        <v>274</v>
      </c>
      <c r="AC391">
        <v>246</v>
      </c>
      <c r="AD391">
        <v>1562</v>
      </c>
      <c r="AE391">
        <v>22</v>
      </c>
      <c r="AF391">
        <v>0</v>
      </c>
      <c r="AG391">
        <v>0</v>
      </c>
      <c r="AH391">
        <v>0</v>
      </c>
      <c r="AI391">
        <v>4</v>
      </c>
    </row>
    <row r="392" spans="1:35" x14ac:dyDescent="0.3">
      <c r="A392" s="1">
        <v>44548</v>
      </c>
      <c r="B392" s="1" t="str">
        <f>TEXT(flights_sample_3m[[#This Row],[FL_DATE]],"yyyy-mm")</f>
        <v>2021-12</v>
      </c>
      <c r="C392" t="s">
        <v>71</v>
      </c>
      <c r="D392" t="s">
        <v>72</v>
      </c>
      <c r="E392" t="s">
        <v>73</v>
      </c>
      <c r="F392">
        <v>20452</v>
      </c>
      <c r="G392">
        <v>5736</v>
      </c>
      <c r="H392" t="s">
        <v>69</v>
      </c>
      <c r="I392" t="s">
        <v>70</v>
      </c>
      <c r="J392" t="s">
        <v>110</v>
      </c>
      <c r="K392" t="s">
        <v>111</v>
      </c>
      <c r="L392">
        <v>1159</v>
      </c>
      <c r="M392" s="2">
        <v>1209</v>
      </c>
      <c r="N392">
        <v>10</v>
      </c>
      <c r="O392" t="str">
        <f>IF(flights_sample_3m[[#This Row],[DEP_DELAY]]&lt;=15,"No delay",IF(flights_sample_3m[[#This Row],[DEP_DELAY]]&lt;=60,"Short Delay","Long Delay"))</f>
        <v>No delay</v>
      </c>
      <c r="P392" t="str">
        <f>IF(flights_sample_3m[[#This Row],[DEP_DELAY]]&lt;=15,"Delayed","On Time")</f>
        <v>Delayed</v>
      </c>
      <c r="Q392">
        <v>13</v>
      </c>
      <c r="R392">
        <v>1222</v>
      </c>
      <c r="S392">
        <v>1312</v>
      </c>
      <c r="T392">
        <v>11</v>
      </c>
      <c r="U392">
        <v>1319</v>
      </c>
      <c r="V392" s="2">
        <v>1323</v>
      </c>
      <c r="W392">
        <v>4</v>
      </c>
      <c r="X392">
        <v>0</v>
      </c>
      <c r="Y392">
        <v>0</v>
      </c>
      <c r="Z392">
        <v>0</v>
      </c>
      <c r="AA392">
        <v>80</v>
      </c>
      <c r="AB392">
        <v>74</v>
      </c>
      <c r="AC392">
        <v>50</v>
      </c>
      <c r="AD392">
        <v>187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">
      <c r="A393" s="1">
        <v>43731</v>
      </c>
      <c r="B393" s="1" t="str">
        <f>TEXT(flights_sample_3m[[#This Row],[FL_DATE]],"yyyy-mm")</f>
        <v>2019-09</v>
      </c>
      <c r="C393" t="s">
        <v>57</v>
      </c>
      <c r="D393" t="s">
        <v>58</v>
      </c>
      <c r="E393" t="s">
        <v>59</v>
      </c>
      <c r="F393">
        <v>19393</v>
      </c>
      <c r="G393">
        <v>2075</v>
      </c>
      <c r="H393" t="s">
        <v>205</v>
      </c>
      <c r="I393" t="s">
        <v>206</v>
      </c>
      <c r="J393" t="s">
        <v>187</v>
      </c>
      <c r="K393" t="s">
        <v>188</v>
      </c>
      <c r="L393">
        <v>820</v>
      </c>
      <c r="M393" s="2">
        <v>818</v>
      </c>
      <c r="N393">
        <v>-2</v>
      </c>
      <c r="O393" t="str">
        <f>IF(flights_sample_3m[[#This Row],[DEP_DELAY]]&lt;=15,"No delay",IF(flights_sample_3m[[#This Row],[DEP_DELAY]]&lt;=60,"Short Delay","Long Delay"))</f>
        <v>No delay</v>
      </c>
      <c r="P393" t="str">
        <f>IF(flights_sample_3m[[#This Row],[DEP_DELAY]]&lt;=15,"Delayed","On Time")</f>
        <v>Delayed</v>
      </c>
      <c r="Q393">
        <v>20</v>
      </c>
      <c r="R393">
        <v>838</v>
      </c>
      <c r="S393">
        <v>942</v>
      </c>
      <c r="T393">
        <v>4</v>
      </c>
      <c r="U393">
        <v>950</v>
      </c>
      <c r="V393" s="2">
        <v>946</v>
      </c>
      <c r="W393">
        <v>-4</v>
      </c>
      <c r="X393">
        <v>0</v>
      </c>
      <c r="Y393">
        <v>0</v>
      </c>
      <c r="Z393">
        <v>0</v>
      </c>
      <c r="AA393">
        <v>150</v>
      </c>
      <c r="AB393">
        <v>148</v>
      </c>
      <c r="AC393">
        <v>124</v>
      </c>
      <c r="AD393">
        <v>814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">
      <c r="A394" s="1">
        <v>44088</v>
      </c>
      <c r="B394" s="1" t="str">
        <f>TEXT(flights_sample_3m[[#This Row],[FL_DATE]],"yyyy-mm")</f>
        <v>2020-09</v>
      </c>
      <c r="C394" t="s">
        <v>57</v>
      </c>
      <c r="D394" t="s">
        <v>58</v>
      </c>
      <c r="E394" t="s">
        <v>59</v>
      </c>
      <c r="F394">
        <v>19393</v>
      </c>
      <c r="G394">
        <v>2266</v>
      </c>
      <c r="H394" t="s">
        <v>201</v>
      </c>
      <c r="I394" t="s">
        <v>202</v>
      </c>
      <c r="J394" t="s">
        <v>93</v>
      </c>
      <c r="K394" t="s">
        <v>94</v>
      </c>
      <c r="L394">
        <v>1750</v>
      </c>
      <c r="M394" s="2">
        <v>1750</v>
      </c>
      <c r="N394">
        <v>0</v>
      </c>
      <c r="O394" t="str">
        <f>IF(flights_sample_3m[[#This Row],[DEP_DELAY]]&lt;=15,"No delay",IF(flights_sample_3m[[#This Row],[DEP_DELAY]]&lt;=60,"Short Delay","Long Delay"))</f>
        <v>No delay</v>
      </c>
      <c r="P394" t="str">
        <f>IF(flights_sample_3m[[#This Row],[DEP_DELAY]]&lt;=15,"Delayed","On Time")</f>
        <v>Delayed</v>
      </c>
      <c r="Q394">
        <v>14</v>
      </c>
      <c r="R394">
        <v>1804</v>
      </c>
      <c r="S394">
        <v>2254</v>
      </c>
      <c r="T394">
        <v>4</v>
      </c>
      <c r="U394">
        <v>2305</v>
      </c>
      <c r="V394" s="2">
        <v>2258</v>
      </c>
      <c r="W394">
        <v>-7</v>
      </c>
      <c r="X394">
        <v>0</v>
      </c>
      <c r="Y394">
        <v>0</v>
      </c>
      <c r="Z394">
        <v>0</v>
      </c>
      <c r="AA394">
        <v>195</v>
      </c>
      <c r="AB394">
        <v>188</v>
      </c>
      <c r="AC394">
        <v>170</v>
      </c>
      <c r="AD394">
        <v>1449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">
      <c r="A395" s="1">
        <v>44326</v>
      </c>
      <c r="B395" s="1" t="str">
        <f>TEXT(flights_sample_3m[[#This Row],[FL_DATE]],"yyyy-mm")</f>
        <v>2021-05</v>
      </c>
      <c r="C395" t="s">
        <v>148</v>
      </c>
      <c r="D395" t="s">
        <v>149</v>
      </c>
      <c r="E395" t="s">
        <v>150</v>
      </c>
      <c r="F395">
        <v>20304</v>
      </c>
      <c r="G395">
        <v>5102</v>
      </c>
      <c r="H395" t="s">
        <v>375</v>
      </c>
      <c r="I395" t="s">
        <v>376</v>
      </c>
      <c r="J395" t="s">
        <v>46</v>
      </c>
      <c r="K395" t="s">
        <v>47</v>
      </c>
      <c r="L395">
        <v>1643</v>
      </c>
      <c r="M395" s="2">
        <v>1633</v>
      </c>
      <c r="N395">
        <v>-10</v>
      </c>
      <c r="O395" t="str">
        <f>IF(flights_sample_3m[[#This Row],[DEP_DELAY]]&lt;=15,"No delay",IF(flights_sample_3m[[#This Row],[DEP_DELAY]]&lt;=60,"Short Delay","Long Delay"))</f>
        <v>No delay</v>
      </c>
      <c r="P395" t="str">
        <f>IF(flights_sample_3m[[#This Row],[DEP_DELAY]]&lt;=15,"Delayed","On Time")</f>
        <v>Delayed</v>
      </c>
      <c r="Q395">
        <v>29</v>
      </c>
      <c r="R395">
        <v>1702</v>
      </c>
      <c r="S395">
        <v>1738</v>
      </c>
      <c r="T395">
        <v>14</v>
      </c>
      <c r="U395">
        <v>1749</v>
      </c>
      <c r="V395" s="2">
        <v>1752</v>
      </c>
      <c r="W395">
        <v>3</v>
      </c>
      <c r="X395">
        <v>0</v>
      </c>
      <c r="Y395">
        <v>0</v>
      </c>
      <c r="Z395">
        <v>0</v>
      </c>
      <c r="AA395">
        <v>126</v>
      </c>
      <c r="AB395">
        <v>139</v>
      </c>
      <c r="AC395">
        <v>96</v>
      </c>
      <c r="AD395">
        <v>638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">
      <c r="A396" s="1">
        <v>44945</v>
      </c>
      <c r="B396" s="1" t="str">
        <f>TEXT(flights_sample_3m[[#This Row],[FL_DATE]],"yyyy-mm")</f>
        <v>2023-01</v>
      </c>
      <c r="C396" t="s">
        <v>50</v>
      </c>
      <c r="D396" t="s">
        <v>51</v>
      </c>
      <c r="E396" t="s">
        <v>52</v>
      </c>
      <c r="F396">
        <v>20416</v>
      </c>
      <c r="G396">
        <v>169</v>
      </c>
      <c r="H396" t="s">
        <v>42</v>
      </c>
      <c r="I396" t="s">
        <v>43</v>
      </c>
      <c r="J396" t="s">
        <v>129</v>
      </c>
      <c r="K396" t="s">
        <v>130</v>
      </c>
      <c r="L396">
        <v>600</v>
      </c>
      <c r="M396" s="2">
        <v>559</v>
      </c>
      <c r="N396">
        <v>-1</v>
      </c>
      <c r="O396" t="str">
        <f>IF(flights_sample_3m[[#This Row],[DEP_DELAY]]&lt;=15,"No delay",IF(flights_sample_3m[[#This Row],[DEP_DELAY]]&lt;=60,"Short Delay","Long Delay"))</f>
        <v>No delay</v>
      </c>
      <c r="P396" t="str">
        <f>IF(flights_sample_3m[[#This Row],[DEP_DELAY]]&lt;=15,"Delayed","On Time")</f>
        <v>Delayed</v>
      </c>
      <c r="Q396">
        <v>58</v>
      </c>
      <c r="R396">
        <v>657</v>
      </c>
      <c r="S396">
        <v>752</v>
      </c>
      <c r="T396">
        <v>7</v>
      </c>
      <c r="U396">
        <v>740</v>
      </c>
      <c r="V396" s="2">
        <v>759</v>
      </c>
      <c r="W396">
        <v>19</v>
      </c>
      <c r="X396">
        <v>0</v>
      </c>
      <c r="Y396">
        <v>0</v>
      </c>
      <c r="Z396">
        <v>0</v>
      </c>
      <c r="AA396">
        <v>220</v>
      </c>
      <c r="AB396">
        <v>240</v>
      </c>
      <c r="AC396">
        <v>175</v>
      </c>
      <c r="AD396">
        <v>1299</v>
      </c>
      <c r="AE396">
        <v>0</v>
      </c>
      <c r="AF396">
        <v>0</v>
      </c>
      <c r="AG396">
        <v>19</v>
      </c>
      <c r="AH396">
        <v>0</v>
      </c>
      <c r="AI396">
        <v>0</v>
      </c>
    </row>
    <row r="397" spans="1:35" x14ac:dyDescent="0.3">
      <c r="A397" s="1">
        <v>44983</v>
      </c>
      <c r="B397" s="1" t="str">
        <f>TEXT(flights_sample_3m[[#This Row],[FL_DATE]],"yyyy-mm")</f>
        <v>2023-02</v>
      </c>
      <c r="C397" t="s">
        <v>148</v>
      </c>
      <c r="D397" t="s">
        <v>149</v>
      </c>
      <c r="E397" t="s">
        <v>150</v>
      </c>
      <c r="F397">
        <v>20304</v>
      </c>
      <c r="G397">
        <v>4926</v>
      </c>
      <c r="H397" t="s">
        <v>377</v>
      </c>
      <c r="I397" t="s">
        <v>378</v>
      </c>
      <c r="J397" t="s">
        <v>55</v>
      </c>
      <c r="K397" t="s">
        <v>56</v>
      </c>
      <c r="L397">
        <v>610</v>
      </c>
      <c r="M397" s="2">
        <v>603</v>
      </c>
      <c r="N397">
        <v>-7</v>
      </c>
      <c r="O397" t="str">
        <f>IF(flights_sample_3m[[#This Row],[DEP_DELAY]]&lt;=15,"No delay",IF(flights_sample_3m[[#This Row],[DEP_DELAY]]&lt;=60,"Short Delay","Long Delay"))</f>
        <v>No delay</v>
      </c>
      <c r="P397" t="str">
        <f>IF(flights_sample_3m[[#This Row],[DEP_DELAY]]&lt;=15,"Delayed","On Time")</f>
        <v>Delayed</v>
      </c>
      <c r="Q397">
        <v>20</v>
      </c>
      <c r="R397">
        <v>623</v>
      </c>
      <c r="S397">
        <v>709</v>
      </c>
      <c r="T397">
        <v>12</v>
      </c>
      <c r="U397">
        <v>727</v>
      </c>
      <c r="V397" s="2">
        <v>721</v>
      </c>
      <c r="W397">
        <v>-6</v>
      </c>
      <c r="X397">
        <v>0</v>
      </c>
      <c r="Y397">
        <v>0</v>
      </c>
      <c r="Z397">
        <v>0</v>
      </c>
      <c r="AA397">
        <v>77</v>
      </c>
      <c r="AB397">
        <v>78</v>
      </c>
      <c r="AC397">
        <v>46</v>
      </c>
      <c r="AD397">
        <v>225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">
      <c r="A398" s="1">
        <v>44640</v>
      </c>
      <c r="B398" s="1" t="str">
        <f>TEXT(flights_sample_3m[[#This Row],[FL_DATE]],"yyyy-mm")</f>
        <v>2022-03</v>
      </c>
      <c r="C398" t="s">
        <v>57</v>
      </c>
      <c r="D398" t="s">
        <v>58</v>
      </c>
      <c r="E398" t="s">
        <v>59</v>
      </c>
      <c r="F398">
        <v>19393</v>
      </c>
      <c r="G398">
        <v>2347</v>
      </c>
      <c r="H398" t="s">
        <v>76</v>
      </c>
      <c r="I398" t="s">
        <v>77</v>
      </c>
      <c r="J398" t="s">
        <v>46</v>
      </c>
      <c r="K398" t="s">
        <v>47</v>
      </c>
      <c r="L398">
        <v>1720</v>
      </c>
      <c r="M398" s="2">
        <v>1716</v>
      </c>
      <c r="N398">
        <v>-4</v>
      </c>
      <c r="O398" t="str">
        <f>IF(flights_sample_3m[[#This Row],[DEP_DELAY]]&lt;=15,"No delay",IF(flights_sample_3m[[#This Row],[DEP_DELAY]]&lt;=60,"Short Delay","Long Delay"))</f>
        <v>No delay</v>
      </c>
      <c r="P398" t="str">
        <f>IF(flights_sample_3m[[#This Row],[DEP_DELAY]]&lt;=15,"Delayed","On Time")</f>
        <v>Delayed</v>
      </c>
      <c r="Q398">
        <v>7</v>
      </c>
      <c r="R398">
        <v>1723</v>
      </c>
      <c r="S398">
        <v>1825</v>
      </c>
      <c r="T398">
        <v>24</v>
      </c>
      <c r="U398">
        <v>1845</v>
      </c>
      <c r="V398" s="2">
        <v>1849</v>
      </c>
      <c r="W398">
        <v>4</v>
      </c>
      <c r="X398">
        <v>0</v>
      </c>
      <c r="Y398">
        <v>0</v>
      </c>
      <c r="Z398">
        <v>0</v>
      </c>
      <c r="AA398">
        <v>145</v>
      </c>
      <c r="AB398">
        <v>153</v>
      </c>
      <c r="AC398">
        <v>122</v>
      </c>
      <c r="AD398">
        <v>862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">
      <c r="A399" s="1">
        <v>45104</v>
      </c>
      <c r="B399" s="1" t="str">
        <f>TEXT(flights_sample_3m[[#This Row],[FL_DATE]],"yyyy-mm")</f>
        <v>2023-06</v>
      </c>
      <c r="C399" t="s">
        <v>64</v>
      </c>
      <c r="D399" t="s">
        <v>65</v>
      </c>
      <c r="E399" t="s">
        <v>66</v>
      </c>
      <c r="F399">
        <v>19805</v>
      </c>
      <c r="G399">
        <v>2389</v>
      </c>
      <c r="H399" t="s">
        <v>48</v>
      </c>
      <c r="I399" t="s">
        <v>49</v>
      </c>
      <c r="J399" t="s">
        <v>221</v>
      </c>
      <c r="K399" t="s">
        <v>222</v>
      </c>
      <c r="L399">
        <v>2354</v>
      </c>
      <c r="M399" s="2">
        <v>29</v>
      </c>
      <c r="N399">
        <v>35</v>
      </c>
      <c r="O399" t="str">
        <f>IF(flights_sample_3m[[#This Row],[DEP_DELAY]]&lt;=15,"No delay",IF(flights_sample_3m[[#This Row],[DEP_DELAY]]&lt;=60,"Short Delay","Long Delay"))</f>
        <v>Short Delay</v>
      </c>
      <c r="P399" t="str">
        <f>IF(flights_sample_3m[[#This Row],[DEP_DELAY]]&lt;=15,"Delayed","On Time")</f>
        <v>On Time</v>
      </c>
      <c r="Q399">
        <v>17</v>
      </c>
      <c r="R399">
        <v>46</v>
      </c>
      <c r="S399">
        <v>841</v>
      </c>
      <c r="T399">
        <v>15</v>
      </c>
      <c r="U399">
        <v>833</v>
      </c>
      <c r="V399" s="2">
        <v>856</v>
      </c>
      <c r="W399">
        <v>23</v>
      </c>
      <c r="X399">
        <v>0</v>
      </c>
      <c r="Y399">
        <v>0</v>
      </c>
      <c r="Z399">
        <v>0</v>
      </c>
      <c r="AA399">
        <v>339</v>
      </c>
      <c r="AB399">
        <v>327</v>
      </c>
      <c r="AC399">
        <v>295</v>
      </c>
      <c r="AD399">
        <v>2585</v>
      </c>
      <c r="AE399">
        <v>23</v>
      </c>
      <c r="AF399">
        <v>0</v>
      </c>
      <c r="AG399">
        <v>0</v>
      </c>
      <c r="AH399">
        <v>0</v>
      </c>
      <c r="AI399">
        <v>0</v>
      </c>
    </row>
    <row r="400" spans="1:35" x14ac:dyDescent="0.3">
      <c r="A400" s="1">
        <v>44653</v>
      </c>
      <c r="B400" s="1" t="str">
        <f>TEXT(flights_sample_3m[[#This Row],[FL_DATE]],"yyyy-mm")</f>
        <v>2022-04</v>
      </c>
      <c r="C400" t="s">
        <v>39</v>
      </c>
      <c r="D400" t="s">
        <v>40</v>
      </c>
      <c r="E400" t="s">
        <v>41</v>
      </c>
      <c r="F400">
        <v>19790</v>
      </c>
      <c r="G400">
        <v>2805</v>
      </c>
      <c r="H400" t="s">
        <v>95</v>
      </c>
      <c r="I400" t="s">
        <v>96</v>
      </c>
      <c r="J400" t="s">
        <v>42</v>
      </c>
      <c r="K400" t="s">
        <v>43</v>
      </c>
      <c r="L400">
        <v>620</v>
      </c>
      <c r="M400" s="2">
        <v>626</v>
      </c>
      <c r="N400">
        <v>6</v>
      </c>
      <c r="O400" t="str">
        <f>IF(flights_sample_3m[[#This Row],[DEP_DELAY]]&lt;=15,"No delay",IF(flights_sample_3m[[#This Row],[DEP_DELAY]]&lt;=60,"Short Delay","Long Delay"))</f>
        <v>No delay</v>
      </c>
      <c r="P400" t="str">
        <f>IF(flights_sample_3m[[#This Row],[DEP_DELAY]]&lt;=15,"Delayed","On Time")</f>
        <v>Delayed</v>
      </c>
      <c r="Q400">
        <v>10</v>
      </c>
      <c r="R400">
        <v>636</v>
      </c>
      <c r="S400">
        <v>1141</v>
      </c>
      <c r="T400">
        <v>4</v>
      </c>
      <c r="U400">
        <v>1203</v>
      </c>
      <c r="V400" s="2">
        <v>1145</v>
      </c>
      <c r="W400">
        <v>-18</v>
      </c>
      <c r="X400">
        <v>0</v>
      </c>
      <c r="Y400">
        <v>0</v>
      </c>
      <c r="Z400">
        <v>0</v>
      </c>
      <c r="AA400">
        <v>223</v>
      </c>
      <c r="AB400">
        <v>199</v>
      </c>
      <c r="AC400">
        <v>185</v>
      </c>
      <c r="AD400">
        <v>1575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">
      <c r="A401" s="1">
        <v>44174</v>
      </c>
      <c r="B401" s="1" t="str">
        <f>TEXT(flights_sample_3m[[#This Row],[FL_DATE]],"yyyy-mm")</f>
        <v>2020-12</v>
      </c>
      <c r="C401" t="s">
        <v>32</v>
      </c>
      <c r="D401" t="s">
        <v>33</v>
      </c>
      <c r="E401" t="s">
        <v>34</v>
      </c>
      <c r="F401">
        <v>19977</v>
      </c>
      <c r="G401">
        <v>221</v>
      </c>
      <c r="H401" t="s">
        <v>106</v>
      </c>
      <c r="I401" t="s">
        <v>92</v>
      </c>
      <c r="J401" t="s">
        <v>48</v>
      </c>
      <c r="K401" t="s">
        <v>49</v>
      </c>
      <c r="L401">
        <v>1845</v>
      </c>
      <c r="M401" s="2">
        <v>1845</v>
      </c>
      <c r="N401">
        <v>0</v>
      </c>
      <c r="O401" t="str">
        <f>IF(flights_sample_3m[[#This Row],[DEP_DELAY]]&lt;=15,"No delay",IF(flights_sample_3m[[#This Row],[DEP_DELAY]]&lt;=60,"Short Delay","Long Delay"))</f>
        <v>No delay</v>
      </c>
      <c r="P401" t="str">
        <f>IF(flights_sample_3m[[#This Row],[DEP_DELAY]]&lt;=15,"Delayed","On Time")</f>
        <v>Delayed</v>
      </c>
      <c r="Q401">
        <v>30</v>
      </c>
      <c r="R401">
        <v>1915</v>
      </c>
      <c r="S401">
        <v>2106</v>
      </c>
      <c r="T401">
        <v>11</v>
      </c>
      <c r="U401">
        <v>2110</v>
      </c>
      <c r="V401" s="2">
        <v>2117</v>
      </c>
      <c r="W401">
        <v>7</v>
      </c>
      <c r="X401">
        <v>0</v>
      </c>
      <c r="Y401">
        <v>0</v>
      </c>
      <c r="Z401">
        <v>0</v>
      </c>
      <c r="AA401">
        <v>265</v>
      </c>
      <c r="AB401">
        <v>272</v>
      </c>
      <c r="AC401">
        <v>231</v>
      </c>
      <c r="AD401">
        <v>1846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">
      <c r="A402" s="1">
        <v>45111</v>
      </c>
      <c r="B402" s="1" t="str">
        <f>TEXT(flights_sample_3m[[#This Row],[FL_DATE]],"yyyy-mm")</f>
        <v>2023-07</v>
      </c>
      <c r="C402" t="s">
        <v>39</v>
      </c>
      <c r="D402" t="s">
        <v>40</v>
      </c>
      <c r="E402" t="s">
        <v>41</v>
      </c>
      <c r="F402">
        <v>19790</v>
      </c>
      <c r="G402">
        <v>1238</v>
      </c>
      <c r="H402" t="s">
        <v>180</v>
      </c>
      <c r="I402" t="s">
        <v>181</v>
      </c>
      <c r="J402" t="s">
        <v>146</v>
      </c>
      <c r="K402" t="s">
        <v>147</v>
      </c>
      <c r="L402">
        <v>810</v>
      </c>
      <c r="M402" s="2">
        <v>802</v>
      </c>
      <c r="N402">
        <v>-8</v>
      </c>
      <c r="O402" t="str">
        <f>IF(flights_sample_3m[[#This Row],[DEP_DELAY]]&lt;=15,"No delay",IF(flights_sample_3m[[#This Row],[DEP_DELAY]]&lt;=60,"Short Delay","Long Delay"))</f>
        <v>No delay</v>
      </c>
      <c r="P402" t="str">
        <f>IF(flights_sample_3m[[#This Row],[DEP_DELAY]]&lt;=15,"Delayed","On Time")</f>
        <v>Delayed</v>
      </c>
      <c r="Q402">
        <v>13</v>
      </c>
      <c r="R402">
        <v>815</v>
      </c>
      <c r="S402">
        <v>940</v>
      </c>
      <c r="T402">
        <v>6</v>
      </c>
      <c r="U402">
        <v>1005</v>
      </c>
      <c r="V402" s="2">
        <v>946</v>
      </c>
      <c r="W402">
        <v>-19</v>
      </c>
      <c r="X402">
        <v>0</v>
      </c>
      <c r="Y402">
        <v>0</v>
      </c>
      <c r="Z402">
        <v>0</v>
      </c>
      <c r="AA402">
        <v>175</v>
      </c>
      <c r="AB402">
        <v>164</v>
      </c>
      <c r="AC402">
        <v>145</v>
      </c>
      <c r="AD402">
        <v>1087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">
      <c r="A403" s="1">
        <v>44924</v>
      </c>
      <c r="B403" s="1" t="str">
        <f>TEXT(flights_sample_3m[[#This Row],[FL_DATE]],"yyyy-mm")</f>
        <v>2022-12</v>
      </c>
      <c r="C403" t="s">
        <v>32</v>
      </c>
      <c r="D403" t="s">
        <v>33</v>
      </c>
      <c r="E403" t="s">
        <v>34</v>
      </c>
      <c r="F403">
        <v>19977</v>
      </c>
      <c r="G403">
        <v>2106</v>
      </c>
      <c r="H403" t="s">
        <v>76</v>
      </c>
      <c r="I403" t="s">
        <v>77</v>
      </c>
      <c r="J403" t="s">
        <v>37</v>
      </c>
      <c r="K403" t="s">
        <v>38</v>
      </c>
      <c r="L403">
        <v>1940</v>
      </c>
      <c r="M403" s="2">
        <v>2015</v>
      </c>
      <c r="N403">
        <v>35</v>
      </c>
      <c r="O403" t="str">
        <f>IF(flights_sample_3m[[#This Row],[DEP_DELAY]]&lt;=15,"No delay",IF(flights_sample_3m[[#This Row],[DEP_DELAY]]&lt;=60,"Short Delay","Long Delay"))</f>
        <v>Short Delay</v>
      </c>
      <c r="P403" t="str">
        <f>IF(flights_sample_3m[[#This Row],[DEP_DELAY]]&lt;=15,"Delayed","On Time")</f>
        <v>On Time</v>
      </c>
      <c r="Q403">
        <v>49</v>
      </c>
      <c r="R403">
        <v>2104</v>
      </c>
      <c r="S403">
        <v>100</v>
      </c>
      <c r="T403">
        <v>9</v>
      </c>
      <c r="U403">
        <v>6</v>
      </c>
      <c r="V403" s="2">
        <v>109</v>
      </c>
      <c r="W403">
        <v>63</v>
      </c>
      <c r="X403">
        <v>0</v>
      </c>
      <c r="Y403">
        <v>0</v>
      </c>
      <c r="Z403">
        <v>0</v>
      </c>
      <c r="AA403">
        <v>206</v>
      </c>
      <c r="AB403">
        <v>234</v>
      </c>
      <c r="AC403">
        <v>176</v>
      </c>
      <c r="AD403">
        <v>1400</v>
      </c>
      <c r="AE403">
        <v>22</v>
      </c>
      <c r="AF403">
        <v>0</v>
      </c>
      <c r="AG403">
        <v>28</v>
      </c>
      <c r="AH403">
        <v>0</v>
      </c>
      <c r="AI403">
        <v>13</v>
      </c>
    </row>
    <row r="404" spans="1:35" x14ac:dyDescent="0.3">
      <c r="A404" s="1">
        <v>44718</v>
      </c>
      <c r="B404" s="1" t="str">
        <f>TEXT(flights_sample_3m[[#This Row],[FL_DATE]],"yyyy-mm")</f>
        <v>2022-06</v>
      </c>
      <c r="C404" t="s">
        <v>32</v>
      </c>
      <c r="D404" t="s">
        <v>33</v>
      </c>
      <c r="E404" t="s">
        <v>34</v>
      </c>
      <c r="F404">
        <v>19977</v>
      </c>
      <c r="G404">
        <v>1237</v>
      </c>
      <c r="H404" t="s">
        <v>48</v>
      </c>
      <c r="I404" t="s">
        <v>49</v>
      </c>
      <c r="J404" t="s">
        <v>44</v>
      </c>
      <c r="K404" t="s">
        <v>45</v>
      </c>
      <c r="L404">
        <v>857</v>
      </c>
      <c r="M404" s="2">
        <v>911</v>
      </c>
      <c r="N404">
        <v>14</v>
      </c>
      <c r="O404" t="str">
        <f>IF(flights_sample_3m[[#This Row],[DEP_DELAY]]&lt;=15,"No delay",IF(flights_sample_3m[[#This Row],[DEP_DELAY]]&lt;=60,"Short Delay","Long Delay"))</f>
        <v>No delay</v>
      </c>
      <c r="P404" t="str">
        <f>IF(flights_sample_3m[[#This Row],[DEP_DELAY]]&lt;=15,"Delayed","On Time")</f>
        <v>Delayed</v>
      </c>
      <c r="Q404">
        <v>19</v>
      </c>
      <c r="R404">
        <v>930</v>
      </c>
      <c r="S404">
        <v>1105</v>
      </c>
      <c r="T404">
        <v>7</v>
      </c>
      <c r="U404">
        <v>1120</v>
      </c>
      <c r="V404" s="2">
        <v>1112</v>
      </c>
      <c r="W404">
        <v>-8</v>
      </c>
      <c r="X404">
        <v>0</v>
      </c>
      <c r="Y404">
        <v>0</v>
      </c>
      <c r="Z404">
        <v>0</v>
      </c>
      <c r="AA404">
        <v>143</v>
      </c>
      <c r="AB404">
        <v>121</v>
      </c>
      <c r="AC404">
        <v>95</v>
      </c>
      <c r="AD404">
        <v>679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">
      <c r="A405" s="1">
        <v>44838</v>
      </c>
      <c r="B405" s="1" t="str">
        <f>TEXT(flights_sample_3m[[#This Row],[FL_DATE]],"yyyy-mm")</f>
        <v>2022-10</v>
      </c>
      <c r="C405" t="s">
        <v>64</v>
      </c>
      <c r="D405" t="s">
        <v>65</v>
      </c>
      <c r="E405" t="s">
        <v>66</v>
      </c>
      <c r="F405">
        <v>19805</v>
      </c>
      <c r="G405">
        <v>966</v>
      </c>
      <c r="H405" t="s">
        <v>367</v>
      </c>
      <c r="I405" t="s">
        <v>368</v>
      </c>
      <c r="J405" t="s">
        <v>123</v>
      </c>
      <c r="K405" t="s">
        <v>124</v>
      </c>
      <c r="L405">
        <v>600</v>
      </c>
      <c r="M405" s="2">
        <v>554</v>
      </c>
      <c r="N405">
        <v>-6</v>
      </c>
      <c r="O405" t="str">
        <f>IF(flights_sample_3m[[#This Row],[DEP_DELAY]]&lt;=15,"No delay",IF(flights_sample_3m[[#This Row],[DEP_DELAY]]&lt;=60,"Short Delay","Long Delay"))</f>
        <v>No delay</v>
      </c>
      <c r="P405" t="str">
        <f>IF(flights_sample_3m[[#This Row],[DEP_DELAY]]&lt;=15,"Delayed","On Time")</f>
        <v>Delayed</v>
      </c>
      <c r="Q405">
        <v>9</v>
      </c>
      <c r="R405">
        <v>603</v>
      </c>
      <c r="S405">
        <v>730</v>
      </c>
      <c r="T405">
        <v>9</v>
      </c>
      <c r="U405">
        <v>755</v>
      </c>
      <c r="V405" s="2">
        <v>739</v>
      </c>
      <c r="W405">
        <v>-16</v>
      </c>
      <c r="X405">
        <v>0</v>
      </c>
      <c r="Y405">
        <v>0</v>
      </c>
      <c r="Z405">
        <v>0</v>
      </c>
      <c r="AA405">
        <v>115</v>
      </c>
      <c r="AB405">
        <v>105</v>
      </c>
      <c r="AC405">
        <v>87</v>
      </c>
      <c r="AD405">
        <v>573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">
      <c r="A406" s="1">
        <v>43653</v>
      </c>
      <c r="B406" s="1" t="str">
        <f>TEXT(flights_sample_3m[[#This Row],[FL_DATE]],"yyyy-mm")</f>
        <v>2019-07</v>
      </c>
      <c r="C406" t="s">
        <v>57</v>
      </c>
      <c r="D406" t="s">
        <v>58</v>
      </c>
      <c r="E406" t="s">
        <v>59</v>
      </c>
      <c r="F406">
        <v>19393</v>
      </c>
      <c r="G406">
        <v>5661</v>
      </c>
      <c r="H406" t="s">
        <v>85</v>
      </c>
      <c r="I406" t="s">
        <v>86</v>
      </c>
      <c r="J406" t="s">
        <v>78</v>
      </c>
      <c r="K406" t="s">
        <v>79</v>
      </c>
      <c r="L406">
        <v>1755</v>
      </c>
      <c r="M406" s="2">
        <v>1759</v>
      </c>
      <c r="N406">
        <v>4</v>
      </c>
      <c r="O406" t="str">
        <f>IF(flights_sample_3m[[#This Row],[DEP_DELAY]]&lt;=15,"No delay",IF(flights_sample_3m[[#This Row],[DEP_DELAY]]&lt;=60,"Short Delay","Long Delay"))</f>
        <v>No delay</v>
      </c>
      <c r="P406" t="str">
        <f>IF(flights_sample_3m[[#This Row],[DEP_DELAY]]&lt;=15,"Delayed","On Time")</f>
        <v>Delayed</v>
      </c>
      <c r="Q406">
        <v>17</v>
      </c>
      <c r="R406">
        <v>1816</v>
      </c>
      <c r="S406">
        <v>1930</v>
      </c>
      <c r="T406">
        <v>5</v>
      </c>
      <c r="U406">
        <v>1945</v>
      </c>
      <c r="V406" s="2">
        <v>1935</v>
      </c>
      <c r="W406">
        <v>-10</v>
      </c>
      <c r="X406">
        <v>0</v>
      </c>
      <c r="Y406">
        <v>0</v>
      </c>
      <c r="Z406">
        <v>0</v>
      </c>
      <c r="AA406">
        <v>290</v>
      </c>
      <c r="AB406">
        <v>276</v>
      </c>
      <c r="AC406">
        <v>254</v>
      </c>
      <c r="AD406">
        <v>1947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">
      <c r="A407" s="1">
        <v>44869</v>
      </c>
      <c r="B407" s="1" t="str">
        <f>TEXT(flights_sample_3m[[#This Row],[FL_DATE]],"yyyy-mm")</f>
        <v>2022-11</v>
      </c>
      <c r="C407" t="s">
        <v>39</v>
      </c>
      <c r="D407" t="s">
        <v>40</v>
      </c>
      <c r="E407" t="s">
        <v>41</v>
      </c>
      <c r="F407">
        <v>19790</v>
      </c>
      <c r="G407">
        <v>1476</v>
      </c>
      <c r="H407" t="s">
        <v>159</v>
      </c>
      <c r="I407" t="s">
        <v>160</v>
      </c>
      <c r="J407" t="s">
        <v>89</v>
      </c>
      <c r="K407" t="s">
        <v>90</v>
      </c>
      <c r="L407">
        <v>1006</v>
      </c>
      <c r="M407" s="2">
        <v>959</v>
      </c>
      <c r="N407">
        <v>-7</v>
      </c>
      <c r="O407" t="str">
        <f>IF(flights_sample_3m[[#This Row],[DEP_DELAY]]&lt;=15,"No delay",IF(flights_sample_3m[[#This Row],[DEP_DELAY]]&lt;=60,"Short Delay","Long Delay"))</f>
        <v>No delay</v>
      </c>
      <c r="P407" t="str">
        <f>IF(flights_sample_3m[[#This Row],[DEP_DELAY]]&lt;=15,"Delayed","On Time")</f>
        <v>Delayed</v>
      </c>
      <c r="Q407">
        <v>11</v>
      </c>
      <c r="R407">
        <v>1010</v>
      </c>
      <c r="S407">
        <v>1136</v>
      </c>
      <c r="T407">
        <v>7</v>
      </c>
      <c r="U407">
        <v>1150</v>
      </c>
      <c r="V407" s="2">
        <v>1143</v>
      </c>
      <c r="W407">
        <v>-7</v>
      </c>
      <c r="X407">
        <v>0</v>
      </c>
      <c r="Y407">
        <v>0</v>
      </c>
      <c r="Z407">
        <v>0</v>
      </c>
      <c r="AA407">
        <v>104</v>
      </c>
      <c r="AB407">
        <v>104</v>
      </c>
      <c r="AC407">
        <v>86</v>
      </c>
      <c r="AD407">
        <v>587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">
      <c r="A408" s="1">
        <v>44731</v>
      </c>
      <c r="B408" s="1" t="str">
        <f>TEXT(flights_sample_3m[[#This Row],[FL_DATE]],"yyyy-mm")</f>
        <v>2022-06</v>
      </c>
      <c r="C408" t="s">
        <v>32</v>
      </c>
      <c r="D408" t="s">
        <v>33</v>
      </c>
      <c r="E408" t="s">
        <v>34</v>
      </c>
      <c r="F408">
        <v>19977</v>
      </c>
      <c r="G408">
        <v>378</v>
      </c>
      <c r="H408" t="s">
        <v>37</v>
      </c>
      <c r="I408" t="s">
        <v>38</v>
      </c>
      <c r="J408" t="s">
        <v>129</v>
      </c>
      <c r="K408" t="s">
        <v>130</v>
      </c>
      <c r="L408">
        <v>2143</v>
      </c>
      <c r="M408" s="2">
        <v>2136</v>
      </c>
      <c r="N408">
        <v>-7</v>
      </c>
      <c r="O408" t="str">
        <f>IF(flights_sample_3m[[#This Row],[DEP_DELAY]]&lt;=15,"No delay",IF(flights_sample_3m[[#This Row],[DEP_DELAY]]&lt;=60,"Short Delay","Long Delay"))</f>
        <v>No delay</v>
      </c>
      <c r="P408" t="str">
        <f>IF(flights_sample_3m[[#This Row],[DEP_DELAY]]&lt;=15,"Delayed","On Time")</f>
        <v>Delayed</v>
      </c>
      <c r="Q408">
        <v>21</v>
      </c>
      <c r="R408">
        <v>2157</v>
      </c>
      <c r="S408">
        <v>2339</v>
      </c>
      <c r="T408">
        <v>7</v>
      </c>
      <c r="U408">
        <v>9</v>
      </c>
      <c r="V408" s="2">
        <v>2346</v>
      </c>
      <c r="W408">
        <v>-23</v>
      </c>
      <c r="X408">
        <v>0</v>
      </c>
      <c r="Y408">
        <v>0</v>
      </c>
      <c r="Z408">
        <v>0</v>
      </c>
      <c r="AA408">
        <v>326</v>
      </c>
      <c r="AB408">
        <v>310</v>
      </c>
      <c r="AC408">
        <v>282</v>
      </c>
      <c r="AD408">
        <v>2227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">
      <c r="A409" s="1">
        <v>45164</v>
      </c>
      <c r="B409" s="1" t="str">
        <f>TEXT(flights_sample_3m[[#This Row],[FL_DATE]],"yyyy-mm")</f>
        <v>2023-08</v>
      </c>
      <c r="C409" t="s">
        <v>57</v>
      </c>
      <c r="D409" t="s">
        <v>58</v>
      </c>
      <c r="E409" t="s">
        <v>59</v>
      </c>
      <c r="F409">
        <v>19393</v>
      </c>
      <c r="G409">
        <v>2827</v>
      </c>
      <c r="H409" t="s">
        <v>35</v>
      </c>
      <c r="I409" t="s">
        <v>36</v>
      </c>
      <c r="J409" t="s">
        <v>187</v>
      </c>
      <c r="K409" t="s">
        <v>188</v>
      </c>
      <c r="L409">
        <v>1550</v>
      </c>
      <c r="M409" s="2">
        <v>1543</v>
      </c>
      <c r="N409">
        <v>-7</v>
      </c>
      <c r="O409" t="str">
        <f>IF(flights_sample_3m[[#This Row],[DEP_DELAY]]&lt;=15,"No delay",IF(flights_sample_3m[[#This Row],[DEP_DELAY]]&lt;=60,"Short Delay","Long Delay"))</f>
        <v>No delay</v>
      </c>
      <c r="P409" t="str">
        <f>IF(flights_sample_3m[[#This Row],[DEP_DELAY]]&lt;=15,"Delayed","On Time")</f>
        <v>Delayed</v>
      </c>
      <c r="Q409">
        <v>11</v>
      </c>
      <c r="R409">
        <v>1554</v>
      </c>
      <c r="S409">
        <v>1709</v>
      </c>
      <c r="T409">
        <v>4</v>
      </c>
      <c r="U409">
        <v>1740</v>
      </c>
      <c r="V409" s="2">
        <v>1713</v>
      </c>
      <c r="W409">
        <v>-27</v>
      </c>
      <c r="X409">
        <v>0</v>
      </c>
      <c r="Y409">
        <v>0</v>
      </c>
      <c r="Z409">
        <v>0</v>
      </c>
      <c r="AA409">
        <v>170</v>
      </c>
      <c r="AB409">
        <v>150</v>
      </c>
      <c r="AC409">
        <v>135</v>
      </c>
      <c r="AD409">
        <v>1057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">
      <c r="A410" s="1">
        <v>43804</v>
      </c>
      <c r="B410" s="1" t="str">
        <f>TEXT(flights_sample_3m[[#This Row],[FL_DATE]],"yyyy-mm")</f>
        <v>2019-12</v>
      </c>
      <c r="C410" t="s">
        <v>39</v>
      </c>
      <c r="D410" t="s">
        <v>40</v>
      </c>
      <c r="E410" t="s">
        <v>41</v>
      </c>
      <c r="F410">
        <v>19790</v>
      </c>
      <c r="G410">
        <v>358</v>
      </c>
      <c r="H410" t="s">
        <v>369</v>
      </c>
      <c r="I410" t="s">
        <v>370</v>
      </c>
      <c r="J410" t="s">
        <v>146</v>
      </c>
      <c r="K410" t="s">
        <v>147</v>
      </c>
      <c r="L410">
        <v>811</v>
      </c>
      <c r="M410" s="2">
        <v>808</v>
      </c>
      <c r="N410">
        <v>-3</v>
      </c>
      <c r="O410" t="str">
        <f>IF(flights_sample_3m[[#This Row],[DEP_DELAY]]&lt;=15,"No delay",IF(flights_sample_3m[[#This Row],[DEP_DELAY]]&lt;=60,"Short Delay","Long Delay"))</f>
        <v>No delay</v>
      </c>
      <c r="P410" t="str">
        <f>IF(flights_sample_3m[[#This Row],[DEP_DELAY]]&lt;=15,"Delayed","On Time")</f>
        <v>Delayed</v>
      </c>
      <c r="Q410">
        <v>14</v>
      </c>
      <c r="R410">
        <v>822</v>
      </c>
      <c r="S410">
        <v>1009</v>
      </c>
      <c r="T410">
        <v>8</v>
      </c>
      <c r="U410">
        <v>1030</v>
      </c>
      <c r="V410" s="2">
        <v>1017</v>
      </c>
      <c r="W410">
        <v>-13</v>
      </c>
      <c r="X410">
        <v>0</v>
      </c>
      <c r="Y410">
        <v>0</v>
      </c>
      <c r="Z410">
        <v>0</v>
      </c>
      <c r="AA410">
        <v>259</v>
      </c>
      <c r="AB410">
        <v>249</v>
      </c>
      <c r="AC410">
        <v>227</v>
      </c>
      <c r="AD410">
        <v>1565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">
      <c r="A411" s="1">
        <v>43677</v>
      </c>
      <c r="B411" s="1" t="str">
        <f>TEXT(flights_sample_3m[[#This Row],[FL_DATE]],"yyyy-mm")</f>
        <v>2019-07</v>
      </c>
      <c r="C411" t="s">
        <v>39</v>
      </c>
      <c r="D411" t="s">
        <v>40</v>
      </c>
      <c r="E411" t="s">
        <v>41</v>
      </c>
      <c r="F411">
        <v>19790</v>
      </c>
      <c r="G411">
        <v>1579</v>
      </c>
      <c r="H411" t="s">
        <v>42</v>
      </c>
      <c r="I411" t="s">
        <v>43</v>
      </c>
      <c r="J411" t="s">
        <v>98</v>
      </c>
      <c r="K411" t="s">
        <v>99</v>
      </c>
      <c r="L411">
        <v>905</v>
      </c>
      <c r="M411" s="2">
        <v>901</v>
      </c>
      <c r="N411">
        <v>-4</v>
      </c>
      <c r="O411" t="str">
        <f>IF(flights_sample_3m[[#This Row],[DEP_DELAY]]&lt;=15,"No delay",IF(flights_sample_3m[[#This Row],[DEP_DELAY]]&lt;=60,"Short Delay","Long Delay"))</f>
        <v>No delay</v>
      </c>
      <c r="P411" t="str">
        <f>IF(flights_sample_3m[[#This Row],[DEP_DELAY]]&lt;=15,"Delayed","On Time")</f>
        <v>Delayed</v>
      </c>
      <c r="Q411">
        <v>18</v>
      </c>
      <c r="R411">
        <v>919</v>
      </c>
      <c r="S411">
        <v>1228</v>
      </c>
      <c r="T411">
        <v>5</v>
      </c>
      <c r="U411">
        <v>1234</v>
      </c>
      <c r="V411" s="2">
        <v>1233</v>
      </c>
      <c r="W411">
        <v>-1</v>
      </c>
      <c r="X411">
        <v>0</v>
      </c>
      <c r="Y411">
        <v>0</v>
      </c>
      <c r="Z411">
        <v>0</v>
      </c>
      <c r="AA411">
        <v>149</v>
      </c>
      <c r="AB411">
        <v>152</v>
      </c>
      <c r="AC411">
        <v>129</v>
      </c>
      <c r="AD411">
        <v>936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">
      <c r="A412" s="1">
        <v>43630</v>
      </c>
      <c r="B412" s="1" t="str">
        <f>TEXT(flights_sample_3m[[#This Row],[FL_DATE]],"yyyy-mm")</f>
        <v>2019-06</v>
      </c>
      <c r="C412" t="s">
        <v>57</v>
      </c>
      <c r="D412" t="s">
        <v>58</v>
      </c>
      <c r="E412" t="s">
        <v>59</v>
      </c>
      <c r="F412">
        <v>19393</v>
      </c>
      <c r="G412">
        <v>6299</v>
      </c>
      <c r="H412" t="s">
        <v>258</v>
      </c>
      <c r="I412" t="s">
        <v>259</v>
      </c>
      <c r="J412" t="s">
        <v>314</v>
      </c>
      <c r="K412" t="s">
        <v>315</v>
      </c>
      <c r="L412">
        <v>1010</v>
      </c>
      <c r="M412" s="2">
        <v>1007</v>
      </c>
      <c r="N412">
        <v>-3</v>
      </c>
      <c r="O412" t="str">
        <f>IF(flights_sample_3m[[#This Row],[DEP_DELAY]]&lt;=15,"No delay",IF(flights_sample_3m[[#This Row],[DEP_DELAY]]&lt;=60,"Short Delay","Long Delay"))</f>
        <v>No delay</v>
      </c>
      <c r="P412" t="str">
        <f>IF(flights_sample_3m[[#This Row],[DEP_DELAY]]&lt;=15,"Delayed","On Time")</f>
        <v>Delayed</v>
      </c>
      <c r="Q412">
        <v>14</v>
      </c>
      <c r="R412">
        <v>1021</v>
      </c>
      <c r="S412">
        <v>1043</v>
      </c>
      <c r="T412">
        <v>4</v>
      </c>
      <c r="U412">
        <v>1100</v>
      </c>
      <c r="V412" s="2">
        <v>1047</v>
      </c>
      <c r="W412">
        <v>-13</v>
      </c>
      <c r="X412">
        <v>0</v>
      </c>
      <c r="Y412">
        <v>0</v>
      </c>
      <c r="Z412">
        <v>0</v>
      </c>
      <c r="AA412">
        <v>50</v>
      </c>
      <c r="AB412">
        <v>40</v>
      </c>
      <c r="AC412">
        <v>22</v>
      </c>
      <c r="AD412">
        <v>100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">
      <c r="A413" s="1">
        <v>43853</v>
      </c>
      <c r="B413" s="1" t="str">
        <f>TEXT(flights_sample_3m[[#This Row],[FL_DATE]],"yyyy-mm")</f>
        <v>2020-01</v>
      </c>
      <c r="C413" t="s">
        <v>148</v>
      </c>
      <c r="D413" t="s">
        <v>149</v>
      </c>
      <c r="E413" t="s">
        <v>150</v>
      </c>
      <c r="F413">
        <v>20304</v>
      </c>
      <c r="G413">
        <v>3651</v>
      </c>
      <c r="H413" t="s">
        <v>268</v>
      </c>
      <c r="I413" t="s">
        <v>269</v>
      </c>
      <c r="J413" t="s">
        <v>146</v>
      </c>
      <c r="K413" t="s">
        <v>147</v>
      </c>
      <c r="L413">
        <v>1011</v>
      </c>
      <c r="M413" s="2">
        <v>1007</v>
      </c>
      <c r="N413">
        <v>-4</v>
      </c>
      <c r="O413" t="str">
        <f>IF(flights_sample_3m[[#This Row],[DEP_DELAY]]&lt;=15,"No delay",IF(flights_sample_3m[[#This Row],[DEP_DELAY]]&lt;=60,"Short Delay","Long Delay"))</f>
        <v>No delay</v>
      </c>
      <c r="P413" t="str">
        <f>IF(flights_sample_3m[[#This Row],[DEP_DELAY]]&lt;=15,"Delayed","On Time")</f>
        <v>Delayed</v>
      </c>
      <c r="Q413">
        <v>16</v>
      </c>
      <c r="R413">
        <v>1023</v>
      </c>
      <c r="S413">
        <v>1257</v>
      </c>
      <c r="T413">
        <v>7</v>
      </c>
      <c r="U413">
        <v>1305</v>
      </c>
      <c r="V413" s="2">
        <v>1304</v>
      </c>
      <c r="W413">
        <v>-1</v>
      </c>
      <c r="X413">
        <v>0</v>
      </c>
      <c r="Y413">
        <v>0</v>
      </c>
      <c r="Z413">
        <v>0</v>
      </c>
      <c r="AA413">
        <v>114</v>
      </c>
      <c r="AB413">
        <v>117</v>
      </c>
      <c r="AC413">
        <v>94</v>
      </c>
      <c r="AD413">
        <v>574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">
      <c r="A414" s="1">
        <v>44396</v>
      </c>
      <c r="B414" s="1" t="str">
        <f>TEXT(flights_sample_3m[[#This Row],[FL_DATE]],"yyyy-mm")</f>
        <v>2021-07</v>
      </c>
      <c r="C414" t="s">
        <v>148</v>
      </c>
      <c r="D414" t="s">
        <v>149</v>
      </c>
      <c r="E414" t="s">
        <v>150</v>
      </c>
      <c r="F414">
        <v>20304</v>
      </c>
      <c r="G414">
        <v>5126</v>
      </c>
      <c r="H414" t="s">
        <v>379</v>
      </c>
      <c r="I414" t="s">
        <v>380</v>
      </c>
      <c r="J414" t="s">
        <v>46</v>
      </c>
      <c r="K414" t="s">
        <v>47</v>
      </c>
      <c r="L414">
        <v>620</v>
      </c>
      <c r="M414" s="2">
        <v>617</v>
      </c>
      <c r="N414">
        <v>-3</v>
      </c>
      <c r="O414" t="str">
        <f>IF(flights_sample_3m[[#This Row],[DEP_DELAY]]&lt;=15,"No delay",IF(flights_sample_3m[[#This Row],[DEP_DELAY]]&lt;=60,"Short Delay","Long Delay"))</f>
        <v>No delay</v>
      </c>
      <c r="P414" t="str">
        <f>IF(flights_sample_3m[[#This Row],[DEP_DELAY]]&lt;=15,"Delayed","On Time")</f>
        <v>Delayed</v>
      </c>
      <c r="Q414">
        <v>6</v>
      </c>
      <c r="R414">
        <v>623</v>
      </c>
      <c r="S414">
        <v>614</v>
      </c>
      <c r="T414">
        <v>9</v>
      </c>
      <c r="U414">
        <v>651</v>
      </c>
      <c r="V414" s="2">
        <v>623</v>
      </c>
      <c r="W414">
        <v>-28</v>
      </c>
      <c r="X414">
        <v>0</v>
      </c>
      <c r="Y414">
        <v>0</v>
      </c>
      <c r="Z414">
        <v>0</v>
      </c>
      <c r="AA414">
        <v>91</v>
      </c>
      <c r="AB414">
        <v>66</v>
      </c>
      <c r="AC414">
        <v>51</v>
      </c>
      <c r="AD414">
        <v>385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">
      <c r="A415" s="1">
        <v>44515</v>
      </c>
      <c r="B415" s="1" t="str">
        <f>TEXT(flights_sample_3m[[#This Row],[FL_DATE]],"yyyy-mm")</f>
        <v>2021-11</v>
      </c>
      <c r="C415" t="s">
        <v>148</v>
      </c>
      <c r="D415" t="s">
        <v>149</v>
      </c>
      <c r="E415" t="s">
        <v>150</v>
      </c>
      <c r="F415">
        <v>20304</v>
      </c>
      <c r="G415">
        <v>3386</v>
      </c>
      <c r="H415" t="s">
        <v>194</v>
      </c>
      <c r="I415" t="s">
        <v>195</v>
      </c>
      <c r="J415" t="s">
        <v>178</v>
      </c>
      <c r="K415" t="s">
        <v>179</v>
      </c>
      <c r="L415">
        <v>1335</v>
      </c>
      <c r="M415" s="2">
        <v>1331</v>
      </c>
      <c r="N415">
        <v>-4</v>
      </c>
      <c r="O415" t="str">
        <f>IF(flights_sample_3m[[#This Row],[DEP_DELAY]]&lt;=15,"No delay",IF(flights_sample_3m[[#This Row],[DEP_DELAY]]&lt;=60,"Short Delay","Long Delay"))</f>
        <v>No delay</v>
      </c>
      <c r="P415" t="str">
        <f>IF(flights_sample_3m[[#This Row],[DEP_DELAY]]&lt;=15,"Delayed","On Time")</f>
        <v>Delayed</v>
      </c>
      <c r="Q415">
        <v>14</v>
      </c>
      <c r="R415">
        <v>1345</v>
      </c>
      <c r="S415">
        <v>1501</v>
      </c>
      <c r="T415">
        <v>6</v>
      </c>
      <c r="U415">
        <v>1516</v>
      </c>
      <c r="V415" s="2">
        <v>1507</v>
      </c>
      <c r="W415">
        <v>-9</v>
      </c>
      <c r="X415">
        <v>0</v>
      </c>
      <c r="Y415">
        <v>0</v>
      </c>
      <c r="Z415">
        <v>0</v>
      </c>
      <c r="AA415">
        <v>101</v>
      </c>
      <c r="AB415">
        <v>96</v>
      </c>
      <c r="AC415">
        <v>76</v>
      </c>
      <c r="AD415">
        <v>480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">
      <c r="A416" s="1">
        <v>44724</v>
      </c>
      <c r="B416" s="1" t="str">
        <f>TEXT(flights_sample_3m[[#This Row],[FL_DATE]],"yyyy-mm")</f>
        <v>2022-06</v>
      </c>
      <c r="C416" t="s">
        <v>148</v>
      </c>
      <c r="D416" t="s">
        <v>149</v>
      </c>
      <c r="E416" t="s">
        <v>150</v>
      </c>
      <c r="F416">
        <v>20304</v>
      </c>
      <c r="G416">
        <v>4011</v>
      </c>
      <c r="H416" t="s">
        <v>170</v>
      </c>
      <c r="I416" t="s">
        <v>171</v>
      </c>
      <c r="J416" t="s">
        <v>125</v>
      </c>
      <c r="K416" t="s">
        <v>68</v>
      </c>
      <c r="L416">
        <v>1608</v>
      </c>
      <c r="M416" s="2">
        <v>1607</v>
      </c>
      <c r="N416">
        <v>-1</v>
      </c>
      <c r="O416" t="str">
        <f>IF(flights_sample_3m[[#This Row],[DEP_DELAY]]&lt;=15,"No delay",IF(flights_sample_3m[[#This Row],[DEP_DELAY]]&lt;=60,"Short Delay","Long Delay"))</f>
        <v>No delay</v>
      </c>
      <c r="P416" t="str">
        <f>IF(flights_sample_3m[[#This Row],[DEP_DELAY]]&lt;=15,"Delayed","On Time")</f>
        <v>Delayed</v>
      </c>
      <c r="Q416">
        <v>22</v>
      </c>
      <c r="R416">
        <v>1629</v>
      </c>
      <c r="S416">
        <v>1728</v>
      </c>
      <c r="T416">
        <v>10</v>
      </c>
      <c r="U416">
        <v>1741</v>
      </c>
      <c r="V416" s="2">
        <v>1738</v>
      </c>
      <c r="W416">
        <v>-3</v>
      </c>
      <c r="X416">
        <v>0</v>
      </c>
      <c r="Y416">
        <v>0</v>
      </c>
      <c r="Z416">
        <v>0</v>
      </c>
      <c r="AA416">
        <v>93</v>
      </c>
      <c r="AB416">
        <v>91</v>
      </c>
      <c r="AC416">
        <v>59</v>
      </c>
      <c r="AD416">
        <v>383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">
      <c r="A417" s="1">
        <v>44019</v>
      </c>
      <c r="B417" s="1" t="str">
        <f>TEXT(flights_sample_3m[[#This Row],[FL_DATE]],"yyyy-mm")</f>
        <v>2020-07</v>
      </c>
      <c r="C417" t="s">
        <v>39</v>
      </c>
      <c r="D417" t="s">
        <v>40</v>
      </c>
      <c r="E417" t="s">
        <v>41</v>
      </c>
      <c r="F417">
        <v>19790</v>
      </c>
      <c r="G417">
        <v>726</v>
      </c>
      <c r="H417" t="s">
        <v>48</v>
      </c>
      <c r="I417" t="s">
        <v>49</v>
      </c>
      <c r="J417" t="s">
        <v>85</v>
      </c>
      <c r="K417" t="s">
        <v>86</v>
      </c>
      <c r="L417">
        <v>1310</v>
      </c>
      <c r="M417" s="2">
        <v>1305</v>
      </c>
      <c r="N417">
        <v>-5</v>
      </c>
      <c r="O417" t="str">
        <f>IF(flights_sample_3m[[#This Row],[DEP_DELAY]]&lt;=15,"No delay",IF(flights_sample_3m[[#This Row],[DEP_DELAY]]&lt;=60,"Short Delay","Long Delay"))</f>
        <v>No delay</v>
      </c>
      <c r="P417" t="str">
        <f>IF(flights_sample_3m[[#This Row],[DEP_DELAY]]&lt;=15,"Delayed","On Time")</f>
        <v>Delayed</v>
      </c>
      <c r="Q417">
        <v>20</v>
      </c>
      <c r="R417">
        <v>1325</v>
      </c>
      <c r="S417">
        <v>2021</v>
      </c>
      <c r="T417">
        <v>12</v>
      </c>
      <c r="U417">
        <v>2044</v>
      </c>
      <c r="V417" s="2">
        <v>2033</v>
      </c>
      <c r="W417">
        <v>-11</v>
      </c>
      <c r="X417">
        <v>0</v>
      </c>
      <c r="Y417">
        <v>0</v>
      </c>
      <c r="Z417">
        <v>0</v>
      </c>
      <c r="AA417">
        <v>274</v>
      </c>
      <c r="AB417">
        <v>268</v>
      </c>
      <c r="AC417">
        <v>236</v>
      </c>
      <c r="AD417">
        <v>2139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">
      <c r="A418" s="1">
        <v>43882</v>
      </c>
      <c r="B418" s="1" t="str">
        <f>TEXT(flights_sample_3m[[#This Row],[FL_DATE]],"yyyy-mm")</f>
        <v>2020-02</v>
      </c>
      <c r="C418" t="s">
        <v>39</v>
      </c>
      <c r="D418" t="s">
        <v>40</v>
      </c>
      <c r="E418" t="s">
        <v>41</v>
      </c>
      <c r="F418">
        <v>19790</v>
      </c>
      <c r="G418">
        <v>2785</v>
      </c>
      <c r="H418" t="s">
        <v>170</v>
      </c>
      <c r="I418" t="s">
        <v>171</v>
      </c>
      <c r="J418" t="s">
        <v>78</v>
      </c>
      <c r="K418" t="s">
        <v>79</v>
      </c>
      <c r="L418">
        <v>1745</v>
      </c>
      <c r="M418" s="2">
        <v>1741</v>
      </c>
      <c r="N418">
        <v>-4</v>
      </c>
      <c r="O418" t="str">
        <f>IF(flights_sample_3m[[#This Row],[DEP_DELAY]]&lt;=15,"No delay",IF(flights_sample_3m[[#This Row],[DEP_DELAY]]&lt;=60,"Short Delay","Long Delay"))</f>
        <v>No delay</v>
      </c>
      <c r="P418" t="str">
        <f>IF(flights_sample_3m[[#This Row],[DEP_DELAY]]&lt;=15,"Delayed","On Time")</f>
        <v>Delayed</v>
      </c>
      <c r="Q418">
        <v>17</v>
      </c>
      <c r="R418">
        <v>1758</v>
      </c>
      <c r="S418">
        <v>1935</v>
      </c>
      <c r="T418">
        <v>10</v>
      </c>
      <c r="U418">
        <v>1955</v>
      </c>
      <c r="V418" s="2">
        <v>1945</v>
      </c>
      <c r="W418">
        <v>-10</v>
      </c>
      <c r="X418">
        <v>0</v>
      </c>
      <c r="Y418">
        <v>0</v>
      </c>
      <c r="Z418">
        <v>0</v>
      </c>
      <c r="AA418">
        <v>310</v>
      </c>
      <c r="AB418">
        <v>304</v>
      </c>
      <c r="AC418">
        <v>277</v>
      </c>
      <c r="AD418">
        <v>1979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">
      <c r="A419" s="1">
        <v>43901</v>
      </c>
      <c r="B419" s="1" t="str">
        <f>TEXT(flights_sample_3m[[#This Row],[FL_DATE]],"yyyy-mm")</f>
        <v>2020-03</v>
      </c>
      <c r="C419" t="s">
        <v>107</v>
      </c>
      <c r="D419" t="s">
        <v>108</v>
      </c>
      <c r="E419" t="s">
        <v>109</v>
      </c>
      <c r="F419">
        <v>20409</v>
      </c>
      <c r="G419">
        <v>1236</v>
      </c>
      <c r="H419" t="s">
        <v>192</v>
      </c>
      <c r="I419" t="s">
        <v>193</v>
      </c>
      <c r="J419" t="s">
        <v>100</v>
      </c>
      <c r="K419" t="s">
        <v>101</v>
      </c>
      <c r="L419">
        <v>924</v>
      </c>
      <c r="M419" s="2">
        <v>908</v>
      </c>
      <c r="N419">
        <v>-16</v>
      </c>
      <c r="O419" t="str">
        <f>IF(flights_sample_3m[[#This Row],[DEP_DELAY]]&lt;=15,"No delay",IF(flights_sample_3m[[#This Row],[DEP_DELAY]]&lt;=60,"Short Delay","Long Delay"))</f>
        <v>No delay</v>
      </c>
      <c r="P419" t="str">
        <f>IF(flights_sample_3m[[#This Row],[DEP_DELAY]]&lt;=15,"Delayed","On Time")</f>
        <v>Delayed</v>
      </c>
      <c r="Q419">
        <v>13</v>
      </c>
      <c r="R419">
        <v>921</v>
      </c>
      <c r="S419">
        <v>936</v>
      </c>
      <c r="T419">
        <v>4</v>
      </c>
      <c r="U419">
        <v>1000</v>
      </c>
      <c r="V419" s="2">
        <v>940</v>
      </c>
      <c r="W419">
        <v>-20</v>
      </c>
      <c r="X419">
        <v>0</v>
      </c>
      <c r="Y419">
        <v>0</v>
      </c>
      <c r="Z419">
        <v>0</v>
      </c>
      <c r="AA419">
        <v>36</v>
      </c>
      <c r="AB419">
        <v>32</v>
      </c>
      <c r="AC419">
        <v>15</v>
      </c>
      <c r="AD419">
        <v>68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">
      <c r="A420" s="1">
        <v>44015</v>
      </c>
      <c r="B420" s="1" t="str">
        <f>TEXT(flights_sample_3m[[#This Row],[FL_DATE]],"yyyy-mm")</f>
        <v>2020-07</v>
      </c>
      <c r="C420" t="s">
        <v>57</v>
      </c>
      <c r="D420" t="s">
        <v>58</v>
      </c>
      <c r="E420" t="s">
        <v>59</v>
      </c>
      <c r="F420">
        <v>19393</v>
      </c>
      <c r="G420">
        <v>1231</v>
      </c>
      <c r="H420" t="s">
        <v>35</v>
      </c>
      <c r="I420" t="s">
        <v>36</v>
      </c>
      <c r="J420" t="s">
        <v>53</v>
      </c>
      <c r="K420" t="s">
        <v>54</v>
      </c>
      <c r="L420">
        <v>1100</v>
      </c>
      <c r="M420" s="2">
        <v>1054</v>
      </c>
      <c r="N420">
        <v>-6</v>
      </c>
      <c r="O420" t="str">
        <f>IF(flights_sample_3m[[#This Row],[DEP_DELAY]]&lt;=15,"No delay",IF(flights_sample_3m[[#This Row],[DEP_DELAY]]&lt;=60,"Short Delay","Long Delay"))</f>
        <v>No delay</v>
      </c>
      <c r="P420" t="str">
        <f>IF(flights_sample_3m[[#This Row],[DEP_DELAY]]&lt;=15,"Delayed","On Time")</f>
        <v>Delayed</v>
      </c>
      <c r="Q420">
        <v>20</v>
      </c>
      <c r="R420">
        <v>1114</v>
      </c>
      <c r="S420">
        <v>1150</v>
      </c>
      <c r="T420">
        <v>6</v>
      </c>
      <c r="U420">
        <v>1225</v>
      </c>
      <c r="V420" s="2">
        <v>1156</v>
      </c>
      <c r="W420">
        <v>-29</v>
      </c>
      <c r="X420">
        <v>0</v>
      </c>
      <c r="Y420">
        <v>0</v>
      </c>
      <c r="Z420">
        <v>0</v>
      </c>
      <c r="AA420">
        <v>85</v>
      </c>
      <c r="AB420">
        <v>62</v>
      </c>
      <c r="AC420">
        <v>36</v>
      </c>
      <c r="AD420">
        <v>177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">
      <c r="A421" s="1">
        <v>43712</v>
      </c>
      <c r="B421" s="1" t="str">
        <f>TEXT(flights_sample_3m[[#This Row],[FL_DATE]],"yyyy-mm")</f>
        <v>2019-09</v>
      </c>
      <c r="C421" t="s">
        <v>39</v>
      </c>
      <c r="D421" t="s">
        <v>40</v>
      </c>
      <c r="E421" t="s">
        <v>41</v>
      </c>
      <c r="F421">
        <v>19790</v>
      </c>
      <c r="G421">
        <v>1408</v>
      </c>
      <c r="H421" t="s">
        <v>85</v>
      </c>
      <c r="I421" t="s">
        <v>86</v>
      </c>
      <c r="J421" t="s">
        <v>157</v>
      </c>
      <c r="K421" t="s">
        <v>158</v>
      </c>
      <c r="L421">
        <v>1745</v>
      </c>
      <c r="M421" s="2">
        <v>1743</v>
      </c>
      <c r="N421">
        <v>-2</v>
      </c>
      <c r="O421" t="str">
        <f>IF(flights_sample_3m[[#This Row],[DEP_DELAY]]&lt;=15,"No delay",IF(flights_sample_3m[[#This Row],[DEP_DELAY]]&lt;=60,"Short Delay","Long Delay"))</f>
        <v>No delay</v>
      </c>
      <c r="P421" t="str">
        <f>IF(flights_sample_3m[[#This Row],[DEP_DELAY]]&lt;=15,"Delayed","On Time")</f>
        <v>Delayed</v>
      </c>
      <c r="Q421">
        <v>8</v>
      </c>
      <c r="R421">
        <v>1751</v>
      </c>
      <c r="S421">
        <v>1853</v>
      </c>
      <c r="T421">
        <v>4</v>
      </c>
      <c r="U421">
        <v>1915</v>
      </c>
      <c r="V421" s="2">
        <v>1857</v>
      </c>
      <c r="W421">
        <v>-18</v>
      </c>
      <c r="X421">
        <v>0</v>
      </c>
      <c r="Y421">
        <v>0</v>
      </c>
      <c r="Z421">
        <v>0</v>
      </c>
      <c r="AA421">
        <v>90</v>
      </c>
      <c r="AB421">
        <v>74</v>
      </c>
      <c r="AC421">
        <v>62</v>
      </c>
      <c r="AD421">
        <v>432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">
      <c r="A422" s="1">
        <v>43495</v>
      </c>
      <c r="B422" s="1" t="str">
        <f>TEXT(flights_sample_3m[[#This Row],[FL_DATE]],"yyyy-mm")</f>
        <v>2019-01</v>
      </c>
      <c r="C422" t="s">
        <v>32</v>
      </c>
      <c r="D422" t="s">
        <v>33</v>
      </c>
      <c r="E422" t="s">
        <v>34</v>
      </c>
      <c r="F422">
        <v>19977</v>
      </c>
      <c r="G422">
        <v>1216</v>
      </c>
      <c r="H422" t="s">
        <v>46</v>
      </c>
      <c r="I422" t="s">
        <v>47</v>
      </c>
      <c r="J422" t="s">
        <v>78</v>
      </c>
      <c r="K422" t="s">
        <v>79</v>
      </c>
      <c r="L422">
        <v>1245</v>
      </c>
      <c r="M422" s="2">
        <v>1239</v>
      </c>
      <c r="N422">
        <v>-6</v>
      </c>
      <c r="O422" t="str">
        <f>IF(flights_sample_3m[[#This Row],[DEP_DELAY]]&lt;=15,"No delay",IF(flights_sample_3m[[#This Row],[DEP_DELAY]]&lt;=60,"Short Delay","Long Delay"))</f>
        <v>No delay</v>
      </c>
      <c r="P422" t="str">
        <f>IF(flights_sample_3m[[#This Row],[DEP_DELAY]]&lt;=15,"Delayed","On Time")</f>
        <v>Delayed</v>
      </c>
      <c r="Q422">
        <v>12</v>
      </c>
      <c r="R422">
        <v>1251</v>
      </c>
      <c r="S422">
        <v>1344</v>
      </c>
      <c r="T422">
        <v>8</v>
      </c>
      <c r="U422">
        <v>1418</v>
      </c>
      <c r="V422" s="2">
        <v>1352</v>
      </c>
      <c r="W422">
        <v>-26</v>
      </c>
      <c r="X422">
        <v>0</v>
      </c>
      <c r="Y422">
        <v>0</v>
      </c>
      <c r="Z422">
        <v>0</v>
      </c>
      <c r="AA422">
        <v>153</v>
      </c>
      <c r="AB422">
        <v>133</v>
      </c>
      <c r="AC422">
        <v>113</v>
      </c>
      <c r="AD422">
        <v>862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">
      <c r="A423" s="1">
        <v>43935</v>
      </c>
      <c r="B423" s="1" t="str">
        <f>TEXT(flights_sample_3m[[#This Row],[FL_DATE]],"yyyy-mm")</f>
        <v>2020-04</v>
      </c>
      <c r="C423" t="s">
        <v>148</v>
      </c>
      <c r="D423" t="s">
        <v>149</v>
      </c>
      <c r="E423" t="s">
        <v>150</v>
      </c>
      <c r="F423">
        <v>20304</v>
      </c>
      <c r="G423">
        <v>3591</v>
      </c>
      <c r="H423" t="s">
        <v>303</v>
      </c>
      <c r="I423" t="s">
        <v>304</v>
      </c>
      <c r="J423" t="s">
        <v>44</v>
      </c>
      <c r="K423" t="s">
        <v>45</v>
      </c>
      <c r="L423">
        <v>1700</v>
      </c>
      <c r="M423" s="2">
        <v>1655</v>
      </c>
      <c r="N423">
        <v>-5</v>
      </c>
      <c r="O423" t="str">
        <f>IF(flights_sample_3m[[#This Row],[DEP_DELAY]]&lt;=15,"No delay",IF(flights_sample_3m[[#This Row],[DEP_DELAY]]&lt;=60,"Short Delay","Long Delay"))</f>
        <v>No delay</v>
      </c>
      <c r="P423" t="str">
        <f>IF(flights_sample_3m[[#This Row],[DEP_DELAY]]&lt;=15,"Delayed","On Time")</f>
        <v>Delayed</v>
      </c>
      <c r="Q423">
        <v>11</v>
      </c>
      <c r="R423">
        <v>1706</v>
      </c>
      <c r="S423">
        <v>1754</v>
      </c>
      <c r="T423">
        <v>4</v>
      </c>
      <c r="U423">
        <v>1803</v>
      </c>
      <c r="V423" s="2">
        <v>1758</v>
      </c>
      <c r="W423">
        <v>-5</v>
      </c>
      <c r="X423">
        <v>0</v>
      </c>
      <c r="Y423">
        <v>0</v>
      </c>
      <c r="Z423">
        <v>0</v>
      </c>
      <c r="AA423">
        <v>63</v>
      </c>
      <c r="AB423">
        <v>63</v>
      </c>
      <c r="AC423">
        <v>48</v>
      </c>
      <c r="AD423">
        <v>234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">
      <c r="A424" s="1">
        <v>44188</v>
      </c>
      <c r="B424" s="1" t="str">
        <f>TEXT(flights_sample_3m[[#This Row],[FL_DATE]],"yyyy-mm")</f>
        <v>2020-12</v>
      </c>
      <c r="C424" t="s">
        <v>57</v>
      </c>
      <c r="D424" t="s">
        <v>58</v>
      </c>
      <c r="E424" t="s">
        <v>59</v>
      </c>
      <c r="F424">
        <v>19393</v>
      </c>
      <c r="G424">
        <v>3391</v>
      </c>
      <c r="H424" t="s">
        <v>320</v>
      </c>
      <c r="I424" t="s">
        <v>77</v>
      </c>
      <c r="J424" t="s">
        <v>85</v>
      </c>
      <c r="K424" t="s">
        <v>86</v>
      </c>
      <c r="L424">
        <v>705</v>
      </c>
      <c r="M424" s="2">
        <v>705</v>
      </c>
      <c r="N424">
        <v>0</v>
      </c>
      <c r="O424" t="str">
        <f>IF(flights_sample_3m[[#This Row],[DEP_DELAY]]&lt;=15,"No delay",IF(flights_sample_3m[[#This Row],[DEP_DELAY]]&lt;=60,"Short Delay","Long Delay"))</f>
        <v>No delay</v>
      </c>
      <c r="P424" t="str">
        <f>IF(flights_sample_3m[[#This Row],[DEP_DELAY]]&lt;=15,"Delayed","On Time")</f>
        <v>Delayed</v>
      </c>
      <c r="Q424">
        <v>9</v>
      </c>
      <c r="R424">
        <v>714</v>
      </c>
      <c r="S424">
        <v>938</v>
      </c>
      <c r="T424">
        <v>4</v>
      </c>
      <c r="U424">
        <v>1000</v>
      </c>
      <c r="V424" s="2">
        <v>942</v>
      </c>
      <c r="W424">
        <v>-18</v>
      </c>
      <c r="X424">
        <v>0</v>
      </c>
      <c r="Y424">
        <v>0</v>
      </c>
      <c r="Z424">
        <v>0</v>
      </c>
      <c r="AA424">
        <v>115</v>
      </c>
      <c r="AB424">
        <v>97</v>
      </c>
      <c r="AC424">
        <v>84</v>
      </c>
      <c r="AD424">
        <v>696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">
      <c r="A425" s="1">
        <v>45151</v>
      </c>
      <c r="B425" s="1" t="str">
        <f>TEXT(flights_sample_3m[[#This Row],[FL_DATE]],"yyyy-mm")</f>
        <v>2023-08</v>
      </c>
      <c r="C425" t="s">
        <v>50</v>
      </c>
      <c r="D425" t="s">
        <v>51</v>
      </c>
      <c r="E425" t="s">
        <v>52</v>
      </c>
      <c r="F425">
        <v>20416</v>
      </c>
      <c r="G425">
        <v>273</v>
      </c>
      <c r="H425" t="s">
        <v>55</v>
      </c>
      <c r="I425" t="s">
        <v>56</v>
      </c>
      <c r="J425" t="s">
        <v>37</v>
      </c>
      <c r="K425" t="s">
        <v>38</v>
      </c>
      <c r="L425">
        <v>830</v>
      </c>
      <c r="M425" s="2">
        <v>1004</v>
      </c>
      <c r="N425">
        <v>94</v>
      </c>
      <c r="O425" t="str">
        <f>IF(flights_sample_3m[[#This Row],[DEP_DELAY]]&lt;=15,"No delay",IF(flights_sample_3m[[#This Row],[DEP_DELAY]]&lt;=60,"Short Delay","Long Delay"))</f>
        <v>Long Delay</v>
      </c>
      <c r="P425" t="str">
        <f>IF(flights_sample_3m[[#This Row],[DEP_DELAY]]&lt;=15,"Delayed","On Time")</f>
        <v>On Time</v>
      </c>
      <c r="Q425">
        <v>16</v>
      </c>
      <c r="R425">
        <v>1020</v>
      </c>
      <c r="S425">
        <v>1421</v>
      </c>
      <c r="T425">
        <v>6</v>
      </c>
      <c r="U425">
        <v>1303</v>
      </c>
      <c r="V425" s="2">
        <v>1427</v>
      </c>
      <c r="W425">
        <v>84</v>
      </c>
      <c r="X425">
        <v>0</v>
      </c>
      <c r="Y425">
        <v>0</v>
      </c>
      <c r="Z425">
        <v>0</v>
      </c>
      <c r="AA425">
        <v>213</v>
      </c>
      <c r="AB425">
        <v>203</v>
      </c>
      <c r="AC425">
        <v>181</v>
      </c>
      <c r="AD425">
        <v>1372</v>
      </c>
      <c r="AE425">
        <v>36</v>
      </c>
      <c r="AF425">
        <v>0</v>
      </c>
      <c r="AG425">
        <v>48</v>
      </c>
      <c r="AH425">
        <v>0</v>
      </c>
      <c r="AI425">
        <v>0</v>
      </c>
    </row>
    <row r="426" spans="1:35" x14ac:dyDescent="0.3">
      <c r="A426" s="1">
        <v>43641</v>
      </c>
      <c r="B426" s="1" t="str">
        <f>TEXT(flights_sample_3m[[#This Row],[FL_DATE]],"yyyy-mm")</f>
        <v>2019-06</v>
      </c>
      <c r="C426" t="s">
        <v>39</v>
      </c>
      <c r="D426" t="s">
        <v>40</v>
      </c>
      <c r="E426" t="s">
        <v>41</v>
      </c>
      <c r="F426">
        <v>19790</v>
      </c>
      <c r="G426">
        <v>1726</v>
      </c>
      <c r="H426" t="s">
        <v>146</v>
      </c>
      <c r="I426" t="s">
        <v>147</v>
      </c>
      <c r="J426" t="s">
        <v>106</v>
      </c>
      <c r="K426" t="s">
        <v>92</v>
      </c>
      <c r="L426">
        <v>1700</v>
      </c>
      <c r="M426" s="2">
        <v>1700</v>
      </c>
      <c r="N426">
        <v>0</v>
      </c>
      <c r="O426" t="str">
        <f>IF(flights_sample_3m[[#This Row],[DEP_DELAY]]&lt;=15,"No delay",IF(flights_sample_3m[[#This Row],[DEP_DELAY]]&lt;=60,"Short Delay","Long Delay"))</f>
        <v>No delay</v>
      </c>
      <c r="P426" t="str">
        <f>IF(flights_sample_3m[[#This Row],[DEP_DELAY]]&lt;=15,"Delayed","On Time")</f>
        <v>Delayed</v>
      </c>
      <c r="Q426">
        <v>16</v>
      </c>
      <c r="R426">
        <v>1716</v>
      </c>
      <c r="S426">
        <v>2052</v>
      </c>
      <c r="T426">
        <v>12</v>
      </c>
      <c r="U426">
        <v>2116</v>
      </c>
      <c r="V426" s="2">
        <v>2104</v>
      </c>
      <c r="W426">
        <v>-12</v>
      </c>
      <c r="X426">
        <v>0</v>
      </c>
      <c r="Y426">
        <v>0</v>
      </c>
      <c r="Z426">
        <v>0</v>
      </c>
      <c r="AA426">
        <v>196</v>
      </c>
      <c r="AB426">
        <v>184</v>
      </c>
      <c r="AC426">
        <v>156</v>
      </c>
      <c r="AD426">
        <v>1250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">
      <c r="A427" s="1">
        <v>44192</v>
      </c>
      <c r="B427" s="1" t="str">
        <f>TEXT(flights_sample_3m[[#This Row],[FL_DATE]],"yyyy-mm")</f>
        <v>2020-12</v>
      </c>
      <c r="C427" t="s">
        <v>148</v>
      </c>
      <c r="D427" t="s">
        <v>149</v>
      </c>
      <c r="E427" t="s">
        <v>150</v>
      </c>
      <c r="F427">
        <v>20304</v>
      </c>
      <c r="G427">
        <v>5510</v>
      </c>
      <c r="H427" t="s">
        <v>46</v>
      </c>
      <c r="I427" t="s">
        <v>47</v>
      </c>
      <c r="J427" t="s">
        <v>381</v>
      </c>
      <c r="K427" t="s">
        <v>382</v>
      </c>
      <c r="L427">
        <v>1405</v>
      </c>
      <c r="M427" s="2">
        <v>1358</v>
      </c>
      <c r="N427">
        <v>-7</v>
      </c>
      <c r="O427" t="str">
        <f>IF(flights_sample_3m[[#This Row],[DEP_DELAY]]&lt;=15,"No delay",IF(flights_sample_3m[[#This Row],[DEP_DELAY]]&lt;=60,"Short Delay","Long Delay"))</f>
        <v>No delay</v>
      </c>
      <c r="P427" t="str">
        <f>IF(flights_sample_3m[[#This Row],[DEP_DELAY]]&lt;=15,"Delayed","On Time")</f>
        <v>Delayed</v>
      </c>
      <c r="Q427">
        <v>37</v>
      </c>
      <c r="R427">
        <v>1435</v>
      </c>
      <c r="S427">
        <v>1511</v>
      </c>
      <c r="T427">
        <v>1</v>
      </c>
      <c r="U427">
        <v>1513</v>
      </c>
      <c r="V427" s="2">
        <v>1512</v>
      </c>
      <c r="W427">
        <v>-1</v>
      </c>
      <c r="X427">
        <v>0</v>
      </c>
      <c r="Y427">
        <v>0</v>
      </c>
      <c r="Z427">
        <v>0</v>
      </c>
      <c r="AA427">
        <v>68</v>
      </c>
      <c r="AB427">
        <v>74</v>
      </c>
      <c r="AC427">
        <v>36</v>
      </c>
      <c r="AD427">
        <v>141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">
      <c r="A428" s="1">
        <v>43907</v>
      </c>
      <c r="B428" s="1" t="str">
        <f>TEXT(flights_sample_3m[[#This Row],[FL_DATE]],"yyyy-mm")</f>
        <v>2020-03</v>
      </c>
      <c r="C428" t="s">
        <v>167</v>
      </c>
      <c r="D428" t="s">
        <v>168</v>
      </c>
      <c r="E428" t="s">
        <v>169</v>
      </c>
      <c r="F428">
        <v>20363</v>
      </c>
      <c r="G428">
        <v>5296</v>
      </c>
      <c r="H428" t="s">
        <v>85</v>
      </c>
      <c r="I428" t="s">
        <v>86</v>
      </c>
      <c r="J428" t="s">
        <v>298</v>
      </c>
      <c r="K428" t="s">
        <v>299</v>
      </c>
      <c r="L428">
        <v>1809</v>
      </c>
      <c r="M428" s="2">
        <v>1833</v>
      </c>
      <c r="N428">
        <v>24</v>
      </c>
      <c r="O428" t="str">
        <f>IF(flights_sample_3m[[#This Row],[DEP_DELAY]]&lt;=15,"No delay",IF(flights_sample_3m[[#This Row],[DEP_DELAY]]&lt;=60,"Short Delay","Long Delay"))</f>
        <v>Short Delay</v>
      </c>
      <c r="P428" t="str">
        <f>IF(flights_sample_3m[[#This Row],[DEP_DELAY]]&lt;=15,"Delayed","On Time")</f>
        <v>On Time</v>
      </c>
      <c r="Q428">
        <v>15</v>
      </c>
      <c r="R428">
        <v>1848</v>
      </c>
      <c r="S428">
        <v>1840</v>
      </c>
      <c r="T428">
        <v>4</v>
      </c>
      <c r="U428">
        <v>1831</v>
      </c>
      <c r="V428" s="2">
        <v>1844</v>
      </c>
      <c r="W428">
        <v>13</v>
      </c>
      <c r="X428">
        <v>0</v>
      </c>
      <c r="Y428">
        <v>0</v>
      </c>
      <c r="Z428">
        <v>0</v>
      </c>
      <c r="AA428">
        <v>82</v>
      </c>
      <c r="AB428">
        <v>71</v>
      </c>
      <c r="AC428">
        <v>52</v>
      </c>
      <c r="AD428">
        <v>302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">
      <c r="A429" s="1">
        <v>43644</v>
      </c>
      <c r="B429" s="1" t="str">
        <f>TEXT(flights_sample_3m[[#This Row],[FL_DATE]],"yyyy-mm")</f>
        <v>2019-06</v>
      </c>
      <c r="C429" t="s">
        <v>64</v>
      </c>
      <c r="D429" t="s">
        <v>65</v>
      </c>
      <c r="E429" t="s">
        <v>66</v>
      </c>
      <c r="F429">
        <v>19805</v>
      </c>
      <c r="G429">
        <v>332</v>
      </c>
      <c r="H429" t="s">
        <v>221</v>
      </c>
      <c r="I429" t="s">
        <v>222</v>
      </c>
      <c r="J429" t="s">
        <v>177</v>
      </c>
      <c r="K429" t="s">
        <v>111</v>
      </c>
      <c r="L429">
        <v>1654</v>
      </c>
      <c r="M429" s="2">
        <v>1717</v>
      </c>
      <c r="N429">
        <v>23</v>
      </c>
      <c r="O429" t="str">
        <f>IF(flights_sample_3m[[#This Row],[DEP_DELAY]]&lt;=15,"No delay",IF(flights_sample_3m[[#This Row],[DEP_DELAY]]&lt;=60,"Short Delay","Long Delay"))</f>
        <v>Short Delay</v>
      </c>
      <c r="P429" t="str">
        <f>IF(flights_sample_3m[[#This Row],[DEP_DELAY]]&lt;=15,"Delayed","On Time")</f>
        <v>On Time</v>
      </c>
      <c r="Q429">
        <v>26</v>
      </c>
      <c r="R429">
        <v>1743</v>
      </c>
      <c r="S429">
        <v>2105</v>
      </c>
      <c r="T429">
        <v>5</v>
      </c>
      <c r="U429">
        <v>1959</v>
      </c>
      <c r="V429" s="2">
        <v>2110</v>
      </c>
      <c r="W429">
        <v>71</v>
      </c>
      <c r="X429">
        <v>0</v>
      </c>
      <c r="Y429">
        <v>0</v>
      </c>
      <c r="Z429">
        <v>0</v>
      </c>
      <c r="AA429">
        <v>185</v>
      </c>
      <c r="AB429">
        <v>233</v>
      </c>
      <c r="AC429">
        <v>202</v>
      </c>
      <c r="AD429">
        <v>1096</v>
      </c>
      <c r="AE429">
        <v>0</v>
      </c>
      <c r="AF429">
        <v>23</v>
      </c>
      <c r="AG429">
        <v>48</v>
      </c>
      <c r="AH429">
        <v>0</v>
      </c>
      <c r="AI429">
        <v>0</v>
      </c>
    </row>
    <row r="430" spans="1:35" x14ac:dyDescent="0.3">
      <c r="A430" s="1">
        <v>44931</v>
      </c>
      <c r="B430" s="1" t="str">
        <f>TEXT(flights_sample_3m[[#This Row],[FL_DATE]],"yyyy-mm")</f>
        <v>2023-01</v>
      </c>
      <c r="C430" t="s">
        <v>80</v>
      </c>
      <c r="D430" t="s">
        <v>81</v>
      </c>
      <c r="E430" t="s">
        <v>82</v>
      </c>
      <c r="F430">
        <v>19930</v>
      </c>
      <c r="G430">
        <v>279</v>
      </c>
      <c r="H430" t="s">
        <v>44</v>
      </c>
      <c r="I430" t="s">
        <v>45</v>
      </c>
      <c r="J430" t="s">
        <v>268</v>
      </c>
      <c r="K430" t="s">
        <v>269</v>
      </c>
      <c r="L430">
        <v>705</v>
      </c>
      <c r="M430" s="2">
        <v>922</v>
      </c>
      <c r="N430">
        <v>137</v>
      </c>
      <c r="O430" t="str">
        <f>IF(flights_sample_3m[[#This Row],[DEP_DELAY]]&lt;=15,"No delay",IF(flights_sample_3m[[#This Row],[DEP_DELAY]]&lt;=60,"Short Delay","Long Delay"))</f>
        <v>Long Delay</v>
      </c>
      <c r="P430" t="str">
        <f>IF(flights_sample_3m[[#This Row],[DEP_DELAY]]&lt;=15,"Delayed","On Time")</f>
        <v>On Time</v>
      </c>
      <c r="Q430">
        <v>26</v>
      </c>
      <c r="R430">
        <v>948</v>
      </c>
      <c r="S430">
        <v>1155</v>
      </c>
      <c r="T430">
        <v>6</v>
      </c>
      <c r="U430">
        <v>940</v>
      </c>
      <c r="V430" s="2">
        <v>1201</v>
      </c>
      <c r="W430">
        <v>141</v>
      </c>
      <c r="X430">
        <v>0</v>
      </c>
      <c r="Y430">
        <v>0</v>
      </c>
      <c r="Z430">
        <v>0</v>
      </c>
      <c r="AA430">
        <v>155</v>
      </c>
      <c r="AB430">
        <v>159</v>
      </c>
      <c r="AC430">
        <v>127</v>
      </c>
      <c r="AD430">
        <v>937</v>
      </c>
      <c r="AE430">
        <v>137</v>
      </c>
      <c r="AF430">
        <v>0</v>
      </c>
      <c r="AG430">
        <v>4</v>
      </c>
      <c r="AH430">
        <v>0</v>
      </c>
      <c r="AI430">
        <v>0</v>
      </c>
    </row>
    <row r="431" spans="1:35" x14ac:dyDescent="0.3">
      <c r="A431" s="1">
        <v>44900</v>
      </c>
      <c r="B431" s="1" t="str">
        <f>TEXT(flights_sample_3m[[#This Row],[FL_DATE]],"yyyy-mm")</f>
        <v>2022-12</v>
      </c>
      <c r="C431" t="s">
        <v>57</v>
      </c>
      <c r="D431" t="s">
        <v>58</v>
      </c>
      <c r="E431" t="s">
        <v>59</v>
      </c>
      <c r="F431">
        <v>19393</v>
      </c>
      <c r="G431">
        <v>3067</v>
      </c>
      <c r="H431" t="s">
        <v>91</v>
      </c>
      <c r="I431" t="s">
        <v>92</v>
      </c>
      <c r="J431" t="s">
        <v>93</v>
      </c>
      <c r="K431" t="s">
        <v>94</v>
      </c>
      <c r="L431">
        <v>540</v>
      </c>
      <c r="M431" s="2">
        <v>535</v>
      </c>
      <c r="N431">
        <v>-5</v>
      </c>
      <c r="O431" t="str">
        <f>IF(flights_sample_3m[[#This Row],[DEP_DELAY]]&lt;=15,"No delay",IF(flights_sample_3m[[#This Row],[DEP_DELAY]]&lt;=60,"Short Delay","Long Delay"))</f>
        <v>No delay</v>
      </c>
      <c r="P431" t="str">
        <f>IF(flights_sample_3m[[#This Row],[DEP_DELAY]]&lt;=15,"Delayed","On Time")</f>
        <v>Delayed</v>
      </c>
      <c r="Q431">
        <v>12</v>
      </c>
      <c r="R431">
        <v>547</v>
      </c>
      <c r="S431">
        <v>643</v>
      </c>
      <c r="T431">
        <v>5</v>
      </c>
      <c r="U431">
        <v>715</v>
      </c>
      <c r="V431" s="2">
        <v>648</v>
      </c>
      <c r="W431">
        <v>-27</v>
      </c>
      <c r="X431">
        <v>0</v>
      </c>
      <c r="Y431">
        <v>0</v>
      </c>
      <c r="Z431">
        <v>0</v>
      </c>
      <c r="AA431">
        <v>95</v>
      </c>
      <c r="AB431">
        <v>73</v>
      </c>
      <c r="AC431">
        <v>56</v>
      </c>
      <c r="AD431">
        <v>395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">
      <c r="A432" s="1">
        <v>45071</v>
      </c>
      <c r="B432" s="1" t="str">
        <f>TEXT(flights_sample_3m[[#This Row],[FL_DATE]],"yyyy-mm")</f>
        <v>2023-05</v>
      </c>
      <c r="C432" t="s">
        <v>50</v>
      </c>
      <c r="D432" t="s">
        <v>51</v>
      </c>
      <c r="E432" t="s">
        <v>52</v>
      </c>
      <c r="F432">
        <v>20416</v>
      </c>
      <c r="G432">
        <v>1777</v>
      </c>
      <c r="H432" t="s">
        <v>35</v>
      </c>
      <c r="I432" t="s">
        <v>36</v>
      </c>
      <c r="J432" t="s">
        <v>37</v>
      </c>
      <c r="K432" t="s">
        <v>38</v>
      </c>
      <c r="L432">
        <v>2050</v>
      </c>
      <c r="M432" s="2">
        <v>2052</v>
      </c>
      <c r="N432">
        <v>2</v>
      </c>
      <c r="O432" t="str">
        <f>IF(flights_sample_3m[[#This Row],[DEP_DELAY]]&lt;=15,"No delay",IF(flights_sample_3m[[#This Row],[DEP_DELAY]]&lt;=60,"Short Delay","Long Delay"))</f>
        <v>No delay</v>
      </c>
      <c r="P432" t="str">
        <f>IF(flights_sample_3m[[#This Row],[DEP_DELAY]]&lt;=15,"Delayed","On Time")</f>
        <v>Delayed</v>
      </c>
      <c r="Q432">
        <v>33</v>
      </c>
      <c r="R432">
        <v>2125</v>
      </c>
      <c r="S432">
        <v>2340</v>
      </c>
      <c r="T432">
        <v>10</v>
      </c>
      <c r="U432">
        <v>2351</v>
      </c>
      <c r="V432" s="2">
        <v>2350</v>
      </c>
      <c r="W432">
        <v>-1</v>
      </c>
      <c r="X432">
        <v>0</v>
      </c>
      <c r="Y432">
        <v>0</v>
      </c>
      <c r="Z432">
        <v>0</v>
      </c>
      <c r="AA432">
        <v>181</v>
      </c>
      <c r="AB432">
        <v>178</v>
      </c>
      <c r="AC432">
        <v>135</v>
      </c>
      <c r="AD432">
        <v>1065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">
      <c r="A433" s="1">
        <v>44607</v>
      </c>
      <c r="B433" s="1" t="str">
        <f>TEXT(flights_sample_3m[[#This Row],[FL_DATE]],"yyyy-mm")</f>
        <v>2022-02</v>
      </c>
      <c r="C433" t="s">
        <v>32</v>
      </c>
      <c r="D433" t="s">
        <v>33</v>
      </c>
      <c r="E433" t="s">
        <v>34</v>
      </c>
      <c r="F433">
        <v>19977</v>
      </c>
      <c r="G433">
        <v>1044</v>
      </c>
      <c r="H433" t="s">
        <v>37</v>
      </c>
      <c r="I433" t="s">
        <v>38</v>
      </c>
      <c r="J433" t="s">
        <v>102</v>
      </c>
      <c r="K433" t="s">
        <v>103</v>
      </c>
      <c r="L433">
        <v>1030</v>
      </c>
      <c r="M433" s="2">
        <v>1025</v>
      </c>
      <c r="N433">
        <v>-5</v>
      </c>
      <c r="O433" t="str">
        <f>IF(flights_sample_3m[[#This Row],[DEP_DELAY]]&lt;=15,"No delay",IF(flights_sample_3m[[#This Row],[DEP_DELAY]]&lt;=60,"Short Delay","Long Delay"))</f>
        <v>No delay</v>
      </c>
      <c r="P433" t="str">
        <f>IF(flights_sample_3m[[#This Row],[DEP_DELAY]]&lt;=15,"Delayed","On Time")</f>
        <v>Delayed</v>
      </c>
      <c r="Q433">
        <v>21</v>
      </c>
      <c r="R433">
        <v>1046</v>
      </c>
      <c r="S433">
        <v>1234</v>
      </c>
      <c r="T433">
        <v>5</v>
      </c>
      <c r="U433">
        <v>1258</v>
      </c>
      <c r="V433" s="2">
        <v>1239</v>
      </c>
      <c r="W433">
        <v>-19</v>
      </c>
      <c r="X433">
        <v>0</v>
      </c>
      <c r="Y433">
        <v>0</v>
      </c>
      <c r="Z433">
        <v>0</v>
      </c>
      <c r="AA433">
        <v>208</v>
      </c>
      <c r="AB433">
        <v>194</v>
      </c>
      <c r="AC433">
        <v>168</v>
      </c>
      <c r="AD433">
        <v>1167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">
      <c r="A434" s="1">
        <v>43888</v>
      </c>
      <c r="B434" s="1" t="str">
        <f>TEXT(flights_sample_3m[[#This Row],[FL_DATE]],"yyyy-mm")</f>
        <v>2020-02</v>
      </c>
      <c r="C434" t="s">
        <v>32</v>
      </c>
      <c r="D434" t="s">
        <v>33</v>
      </c>
      <c r="E434" t="s">
        <v>34</v>
      </c>
      <c r="F434">
        <v>19977</v>
      </c>
      <c r="G434">
        <v>2106</v>
      </c>
      <c r="H434" t="s">
        <v>125</v>
      </c>
      <c r="I434" t="s">
        <v>68</v>
      </c>
      <c r="J434" t="s">
        <v>221</v>
      </c>
      <c r="K434" t="s">
        <v>222</v>
      </c>
      <c r="L434">
        <v>825</v>
      </c>
      <c r="M434" s="2">
        <v>821</v>
      </c>
      <c r="N434">
        <v>-4</v>
      </c>
      <c r="O434" t="str">
        <f>IF(flights_sample_3m[[#This Row],[DEP_DELAY]]&lt;=15,"No delay",IF(flights_sample_3m[[#This Row],[DEP_DELAY]]&lt;=60,"Short Delay","Long Delay"))</f>
        <v>No delay</v>
      </c>
      <c r="P434" t="str">
        <f>IF(flights_sample_3m[[#This Row],[DEP_DELAY]]&lt;=15,"Delayed","On Time")</f>
        <v>Delayed</v>
      </c>
      <c r="Q434">
        <v>15</v>
      </c>
      <c r="R434">
        <v>836</v>
      </c>
      <c r="S434">
        <v>1104</v>
      </c>
      <c r="T434">
        <v>7</v>
      </c>
      <c r="U434">
        <v>1119</v>
      </c>
      <c r="V434" s="2">
        <v>1111</v>
      </c>
      <c r="W434">
        <v>-8</v>
      </c>
      <c r="X434">
        <v>0</v>
      </c>
      <c r="Y434">
        <v>0</v>
      </c>
      <c r="Z434">
        <v>0</v>
      </c>
      <c r="AA434">
        <v>174</v>
      </c>
      <c r="AB434">
        <v>170</v>
      </c>
      <c r="AC434">
        <v>148</v>
      </c>
      <c r="AD434">
        <v>921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">
      <c r="A435" s="1">
        <v>44640</v>
      </c>
      <c r="B435" s="1" t="str">
        <f>TEXT(flights_sample_3m[[#This Row],[FL_DATE]],"yyyy-mm")</f>
        <v>2022-03</v>
      </c>
      <c r="C435" t="s">
        <v>107</v>
      </c>
      <c r="D435" t="s">
        <v>108</v>
      </c>
      <c r="E435" t="s">
        <v>109</v>
      </c>
      <c r="F435">
        <v>20409</v>
      </c>
      <c r="G435">
        <v>62</v>
      </c>
      <c r="H435" t="s">
        <v>365</v>
      </c>
      <c r="I435" t="s">
        <v>366</v>
      </c>
      <c r="J435" t="s">
        <v>177</v>
      </c>
      <c r="K435" t="s">
        <v>111</v>
      </c>
      <c r="L435">
        <v>1136</v>
      </c>
      <c r="M435" s="2">
        <v>1150</v>
      </c>
      <c r="N435">
        <v>14</v>
      </c>
      <c r="O435" t="str">
        <f>IF(flights_sample_3m[[#This Row],[DEP_DELAY]]&lt;=15,"No delay",IF(flights_sample_3m[[#This Row],[DEP_DELAY]]&lt;=60,"Short Delay","Long Delay"))</f>
        <v>No delay</v>
      </c>
      <c r="P435" t="str">
        <f>IF(flights_sample_3m[[#This Row],[DEP_DELAY]]&lt;=15,"Delayed","On Time")</f>
        <v>Delayed</v>
      </c>
      <c r="Q435">
        <v>13</v>
      </c>
      <c r="R435">
        <v>1203</v>
      </c>
      <c r="S435">
        <v>1417</v>
      </c>
      <c r="T435">
        <v>33</v>
      </c>
      <c r="U435">
        <v>1429</v>
      </c>
      <c r="V435" s="2">
        <v>1450</v>
      </c>
      <c r="W435">
        <v>21</v>
      </c>
      <c r="X435">
        <v>0</v>
      </c>
      <c r="Y435">
        <v>0</v>
      </c>
      <c r="Z435">
        <v>0</v>
      </c>
      <c r="AA435">
        <v>173</v>
      </c>
      <c r="AB435">
        <v>180</v>
      </c>
      <c r="AC435">
        <v>134</v>
      </c>
      <c r="AD435">
        <v>1035</v>
      </c>
      <c r="AE435">
        <v>14</v>
      </c>
      <c r="AF435">
        <v>0</v>
      </c>
      <c r="AG435">
        <v>7</v>
      </c>
      <c r="AH435">
        <v>0</v>
      </c>
      <c r="AI435">
        <v>0</v>
      </c>
    </row>
    <row r="436" spans="1:35" x14ac:dyDescent="0.3">
      <c r="A436" s="1">
        <v>44863</v>
      </c>
      <c r="B436" s="1" t="str">
        <f>TEXT(flights_sample_3m[[#This Row],[FL_DATE]],"yyyy-mm")</f>
        <v>2022-10</v>
      </c>
      <c r="C436" t="s">
        <v>57</v>
      </c>
      <c r="D436" t="s">
        <v>58</v>
      </c>
      <c r="E436" t="s">
        <v>59</v>
      </c>
      <c r="F436">
        <v>19393</v>
      </c>
      <c r="G436">
        <v>2423</v>
      </c>
      <c r="H436" t="s">
        <v>85</v>
      </c>
      <c r="I436" t="s">
        <v>86</v>
      </c>
      <c r="J436" t="s">
        <v>62</v>
      </c>
      <c r="K436" t="s">
        <v>63</v>
      </c>
      <c r="L436">
        <v>830</v>
      </c>
      <c r="M436" s="2">
        <v>827</v>
      </c>
      <c r="N436">
        <v>-3</v>
      </c>
      <c r="O436" t="str">
        <f>IF(flights_sample_3m[[#This Row],[DEP_DELAY]]&lt;=15,"No delay",IF(flights_sample_3m[[#This Row],[DEP_DELAY]]&lt;=60,"Short Delay","Long Delay"))</f>
        <v>No delay</v>
      </c>
      <c r="P436" t="str">
        <f>IF(flights_sample_3m[[#This Row],[DEP_DELAY]]&lt;=15,"Delayed","On Time")</f>
        <v>Delayed</v>
      </c>
      <c r="Q436">
        <v>12</v>
      </c>
      <c r="R436">
        <v>839</v>
      </c>
      <c r="S436">
        <v>929</v>
      </c>
      <c r="T436">
        <v>3</v>
      </c>
      <c r="U436">
        <v>945</v>
      </c>
      <c r="V436" s="2">
        <v>932</v>
      </c>
      <c r="W436">
        <v>-13</v>
      </c>
      <c r="X436">
        <v>0</v>
      </c>
      <c r="Y436">
        <v>0</v>
      </c>
      <c r="Z436">
        <v>0</v>
      </c>
      <c r="AA436">
        <v>135</v>
      </c>
      <c r="AB436">
        <v>125</v>
      </c>
      <c r="AC436">
        <v>110</v>
      </c>
      <c r="AD436">
        <v>761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">
      <c r="A437" s="1">
        <v>43648</v>
      </c>
      <c r="B437" s="1" t="str">
        <f>TEXT(flights_sample_3m[[#This Row],[FL_DATE]],"yyyy-mm")</f>
        <v>2019-07</v>
      </c>
      <c r="C437" t="s">
        <v>198</v>
      </c>
      <c r="D437" t="s">
        <v>199</v>
      </c>
      <c r="E437" t="s">
        <v>200</v>
      </c>
      <c r="F437">
        <v>20378</v>
      </c>
      <c r="G437">
        <v>5875</v>
      </c>
      <c r="H437" t="s">
        <v>383</v>
      </c>
      <c r="I437" t="s">
        <v>384</v>
      </c>
      <c r="J437" t="s">
        <v>55</v>
      </c>
      <c r="K437" t="s">
        <v>56</v>
      </c>
      <c r="L437">
        <v>730</v>
      </c>
      <c r="M437" s="2">
        <v>738</v>
      </c>
      <c r="N437">
        <v>8</v>
      </c>
      <c r="O437" t="str">
        <f>IF(flights_sample_3m[[#This Row],[DEP_DELAY]]&lt;=15,"No delay",IF(flights_sample_3m[[#This Row],[DEP_DELAY]]&lt;=60,"Short Delay","Long Delay"))</f>
        <v>No delay</v>
      </c>
      <c r="P437" t="str">
        <f>IF(flights_sample_3m[[#This Row],[DEP_DELAY]]&lt;=15,"Delayed","On Time")</f>
        <v>Delayed</v>
      </c>
      <c r="Q437">
        <v>16</v>
      </c>
      <c r="R437">
        <v>754</v>
      </c>
      <c r="S437">
        <v>938</v>
      </c>
      <c r="T437">
        <v>12</v>
      </c>
      <c r="U437">
        <v>939</v>
      </c>
      <c r="V437" s="2">
        <v>950</v>
      </c>
      <c r="W437">
        <v>11</v>
      </c>
      <c r="X437">
        <v>0</v>
      </c>
      <c r="Y437">
        <v>0</v>
      </c>
      <c r="Z437">
        <v>0</v>
      </c>
      <c r="AA437">
        <v>129</v>
      </c>
      <c r="AB437">
        <v>132</v>
      </c>
      <c r="AC437">
        <v>104</v>
      </c>
      <c r="AD437">
        <v>691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">
      <c r="A438" s="1">
        <v>43807</v>
      </c>
      <c r="B438" s="1" t="str">
        <f>TEXT(flights_sample_3m[[#This Row],[FL_DATE]],"yyyy-mm")</f>
        <v>2019-12</v>
      </c>
      <c r="C438" t="s">
        <v>71</v>
      </c>
      <c r="D438" t="s">
        <v>72</v>
      </c>
      <c r="E438" t="s">
        <v>73</v>
      </c>
      <c r="F438">
        <v>20452</v>
      </c>
      <c r="G438">
        <v>3556</v>
      </c>
      <c r="H438" t="s">
        <v>243</v>
      </c>
      <c r="I438" t="s">
        <v>244</v>
      </c>
      <c r="J438" t="s">
        <v>106</v>
      </c>
      <c r="K438" t="s">
        <v>92</v>
      </c>
      <c r="L438">
        <v>1045</v>
      </c>
      <c r="M438" s="2">
        <v>1105</v>
      </c>
      <c r="N438">
        <v>20</v>
      </c>
      <c r="O438" t="str">
        <f>IF(flights_sample_3m[[#This Row],[DEP_DELAY]]&lt;=15,"No delay",IF(flights_sample_3m[[#This Row],[DEP_DELAY]]&lt;=60,"Short Delay","Long Delay"))</f>
        <v>Short Delay</v>
      </c>
      <c r="P438" t="str">
        <f>IF(flights_sample_3m[[#This Row],[DEP_DELAY]]&lt;=15,"Delayed","On Time")</f>
        <v>On Time</v>
      </c>
      <c r="Q438">
        <v>11</v>
      </c>
      <c r="R438">
        <v>1116</v>
      </c>
      <c r="S438">
        <v>1112</v>
      </c>
      <c r="T438">
        <v>5</v>
      </c>
      <c r="U438">
        <v>1121</v>
      </c>
      <c r="V438" s="2">
        <v>1117</v>
      </c>
      <c r="W438">
        <v>-4</v>
      </c>
      <c r="X438">
        <v>0</v>
      </c>
      <c r="Y438">
        <v>0</v>
      </c>
      <c r="Z438">
        <v>0</v>
      </c>
      <c r="AA438">
        <v>96</v>
      </c>
      <c r="AB438">
        <v>72</v>
      </c>
      <c r="AC438">
        <v>56</v>
      </c>
      <c r="AD438">
        <v>286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">
      <c r="A439" s="1">
        <v>44970</v>
      </c>
      <c r="B439" s="1" t="str">
        <f>TEXT(flights_sample_3m[[#This Row],[FL_DATE]],"yyyy-mm")</f>
        <v>2023-02</v>
      </c>
      <c r="C439" t="s">
        <v>64</v>
      </c>
      <c r="D439" t="s">
        <v>65</v>
      </c>
      <c r="E439" t="s">
        <v>66</v>
      </c>
      <c r="F439">
        <v>19805</v>
      </c>
      <c r="G439">
        <v>1701</v>
      </c>
      <c r="H439" t="s">
        <v>192</v>
      </c>
      <c r="I439" t="s">
        <v>193</v>
      </c>
      <c r="J439" t="s">
        <v>221</v>
      </c>
      <c r="K439" t="s">
        <v>222</v>
      </c>
      <c r="L439">
        <v>2047</v>
      </c>
      <c r="M439" s="2">
        <v>2035</v>
      </c>
      <c r="N439">
        <v>-12</v>
      </c>
      <c r="O439" t="str">
        <f>IF(flights_sample_3m[[#This Row],[DEP_DELAY]]&lt;=15,"No delay",IF(flights_sample_3m[[#This Row],[DEP_DELAY]]&lt;=60,"Short Delay","Long Delay"))</f>
        <v>No delay</v>
      </c>
      <c r="P439" t="str">
        <f>IF(flights_sample_3m[[#This Row],[DEP_DELAY]]&lt;=15,"Delayed","On Time")</f>
        <v>Delayed</v>
      </c>
      <c r="Q439">
        <v>12</v>
      </c>
      <c r="R439">
        <v>2047</v>
      </c>
      <c r="S439">
        <v>2207</v>
      </c>
      <c r="T439">
        <v>9</v>
      </c>
      <c r="U439">
        <v>2244</v>
      </c>
      <c r="V439" s="2">
        <v>2216</v>
      </c>
      <c r="W439">
        <v>-28</v>
      </c>
      <c r="X439">
        <v>0</v>
      </c>
      <c r="Y439">
        <v>0</v>
      </c>
      <c r="Z439">
        <v>0</v>
      </c>
      <c r="AA439">
        <v>177</v>
      </c>
      <c r="AB439">
        <v>161</v>
      </c>
      <c r="AC439">
        <v>140</v>
      </c>
      <c r="AD439">
        <v>1045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">
      <c r="A440" s="1">
        <v>45098</v>
      </c>
      <c r="B440" s="1" t="str">
        <f>TEXT(flights_sample_3m[[#This Row],[FL_DATE]],"yyyy-mm")</f>
        <v>2023-06</v>
      </c>
      <c r="C440" t="s">
        <v>80</v>
      </c>
      <c r="D440" t="s">
        <v>81</v>
      </c>
      <c r="E440" t="s">
        <v>82</v>
      </c>
      <c r="F440">
        <v>19930</v>
      </c>
      <c r="G440">
        <v>108</v>
      </c>
      <c r="H440" t="s">
        <v>373</v>
      </c>
      <c r="I440" t="s">
        <v>374</v>
      </c>
      <c r="J440" t="s">
        <v>44</v>
      </c>
      <c r="K440" t="s">
        <v>45</v>
      </c>
      <c r="L440">
        <v>250</v>
      </c>
      <c r="M440" s="2">
        <v>244</v>
      </c>
      <c r="N440">
        <v>-6</v>
      </c>
      <c r="O440" t="str">
        <f>IF(flights_sample_3m[[#This Row],[DEP_DELAY]]&lt;=15,"No delay",IF(flights_sample_3m[[#This Row],[DEP_DELAY]]&lt;=60,"Short Delay","Long Delay"))</f>
        <v>No delay</v>
      </c>
      <c r="P440" t="str">
        <f>IF(flights_sample_3m[[#This Row],[DEP_DELAY]]&lt;=15,"Delayed","On Time")</f>
        <v>Delayed</v>
      </c>
      <c r="Q440">
        <v>15</v>
      </c>
      <c r="R440">
        <v>259</v>
      </c>
      <c r="S440">
        <v>653</v>
      </c>
      <c r="T440">
        <v>4</v>
      </c>
      <c r="U440">
        <v>715</v>
      </c>
      <c r="V440" s="2">
        <v>657</v>
      </c>
      <c r="W440">
        <v>-18</v>
      </c>
      <c r="X440">
        <v>0</v>
      </c>
      <c r="Y440">
        <v>0</v>
      </c>
      <c r="Z440">
        <v>0</v>
      </c>
      <c r="AA440">
        <v>205</v>
      </c>
      <c r="AB440">
        <v>193</v>
      </c>
      <c r="AC440">
        <v>174</v>
      </c>
      <c r="AD440">
        <v>1448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">
      <c r="A441" s="1">
        <v>45064</v>
      </c>
      <c r="B441" s="1" t="str">
        <f>TEXT(flights_sample_3m[[#This Row],[FL_DATE]],"yyyy-mm")</f>
        <v>2023-05</v>
      </c>
      <c r="C441" t="s">
        <v>39</v>
      </c>
      <c r="D441" t="s">
        <v>40</v>
      </c>
      <c r="E441" t="s">
        <v>41</v>
      </c>
      <c r="F441">
        <v>19790</v>
      </c>
      <c r="G441">
        <v>862</v>
      </c>
      <c r="H441" t="s">
        <v>35</v>
      </c>
      <c r="I441" t="s">
        <v>36</v>
      </c>
      <c r="J441" t="s">
        <v>69</v>
      </c>
      <c r="K441" t="s">
        <v>70</v>
      </c>
      <c r="L441">
        <v>1034</v>
      </c>
      <c r="M441" s="2">
        <v>1036</v>
      </c>
      <c r="N441">
        <v>2</v>
      </c>
      <c r="O441" t="str">
        <f>IF(flights_sample_3m[[#This Row],[DEP_DELAY]]&lt;=15,"No delay",IF(flights_sample_3m[[#This Row],[DEP_DELAY]]&lt;=60,"Short Delay","Long Delay"))</f>
        <v>No delay</v>
      </c>
      <c r="P441" t="str">
        <f>IF(flights_sample_3m[[#This Row],[DEP_DELAY]]&lt;=15,"Delayed","On Time")</f>
        <v>Delayed</v>
      </c>
      <c r="Q441">
        <v>18</v>
      </c>
      <c r="R441">
        <v>1054</v>
      </c>
      <c r="S441">
        <v>1345</v>
      </c>
      <c r="T441">
        <v>7</v>
      </c>
      <c r="U441">
        <v>1353</v>
      </c>
      <c r="V441" s="2">
        <v>1352</v>
      </c>
      <c r="W441">
        <v>-1</v>
      </c>
      <c r="X441">
        <v>0</v>
      </c>
      <c r="Y441">
        <v>0</v>
      </c>
      <c r="Z441">
        <v>0</v>
      </c>
      <c r="AA441">
        <v>199</v>
      </c>
      <c r="AB441">
        <v>196</v>
      </c>
      <c r="AC441">
        <v>171</v>
      </c>
      <c r="AD441">
        <v>1237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">
      <c r="A442" s="1">
        <v>43678</v>
      </c>
      <c r="B442" s="1" t="str">
        <f>TEXT(flights_sample_3m[[#This Row],[FL_DATE]],"yyyy-mm")</f>
        <v>2019-08</v>
      </c>
      <c r="C442" t="s">
        <v>57</v>
      </c>
      <c r="D442" t="s">
        <v>58</v>
      </c>
      <c r="E442" t="s">
        <v>59</v>
      </c>
      <c r="F442">
        <v>19393</v>
      </c>
      <c r="G442">
        <v>59</v>
      </c>
      <c r="H442" t="s">
        <v>60</v>
      </c>
      <c r="I442" t="s">
        <v>61</v>
      </c>
      <c r="J442" t="s">
        <v>320</v>
      </c>
      <c r="K442" t="s">
        <v>77</v>
      </c>
      <c r="L442">
        <v>2100</v>
      </c>
      <c r="M442" s="2">
        <v>2124</v>
      </c>
      <c r="N442">
        <v>24</v>
      </c>
      <c r="O442" t="str">
        <f>IF(flights_sample_3m[[#This Row],[DEP_DELAY]]&lt;=15,"No delay",IF(flights_sample_3m[[#This Row],[DEP_DELAY]]&lt;=60,"Short Delay","Long Delay"))</f>
        <v>Short Delay</v>
      </c>
      <c r="P442" t="str">
        <f>IF(flights_sample_3m[[#This Row],[DEP_DELAY]]&lt;=15,"Delayed","On Time")</f>
        <v>On Time</v>
      </c>
      <c r="Q442">
        <v>16</v>
      </c>
      <c r="R442">
        <v>2140</v>
      </c>
      <c r="S442">
        <v>2221</v>
      </c>
      <c r="T442">
        <v>5</v>
      </c>
      <c r="U442">
        <v>2210</v>
      </c>
      <c r="V442" s="2">
        <v>2226</v>
      </c>
      <c r="W442">
        <v>16</v>
      </c>
      <c r="X442">
        <v>0</v>
      </c>
      <c r="Y442">
        <v>0</v>
      </c>
      <c r="Z442">
        <v>0</v>
      </c>
      <c r="AA442">
        <v>70</v>
      </c>
      <c r="AB442">
        <v>62</v>
      </c>
      <c r="AC442">
        <v>41</v>
      </c>
      <c r="AD442">
        <v>239</v>
      </c>
      <c r="AE442">
        <v>3</v>
      </c>
      <c r="AF442">
        <v>0</v>
      </c>
      <c r="AG442">
        <v>0</v>
      </c>
      <c r="AH442">
        <v>0</v>
      </c>
      <c r="AI442">
        <v>13</v>
      </c>
    </row>
    <row r="443" spans="1:35" x14ac:dyDescent="0.3">
      <c r="A443" s="1">
        <v>44939</v>
      </c>
      <c r="B443" s="1" t="str">
        <f>TEXT(flights_sample_3m[[#This Row],[FL_DATE]],"yyyy-mm")</f>
        <v>2023-01</v>
      </c>
      <c r="C443" t="s">
        <v>57</v>
      </c>
      <c r="D443" t="s">
        <v>58</v>
      </c>
      <c r="E443" t="s">
        <v>59</v>
      </c>
      <c r="F443">
        <v>19393</v>
      </c>
      <c r="G443">
        <v>1628</v>
      </c>
      <c r="H443" t="s">
        <v>320</v>
      </c>
      <c r="I443" t="s">
        <v>77</v>
      </c>
      <c r="J443" t="s">
        <v>129</v>
      </c>
      <c r="K443" t="s">
        <v>130</v>
      </c>
      <c r="L443">
        <v>815</v>
      </c>
      <c r="M443" s="2">
        <v>821</v>
      </c>
      <c r="N443">
        <v>6</v>
      </c>
      <c r="O443" t="str">
        <f>IF(flights_sample_3m[[#This Row],[DEP_DELAY]]&lt;=15,"No delay",IF(flights_sample_3m[[#This Row],[DEP_DELAY]]&lt;=60,"Short Delay","Long Delay"))</f>
        <v>No delay</v>
      </c>
      <c r="P443" t="str">
        <f>IF(flights_sample_3m[[#This Row],[DEP_DELAY]]&lt;=15,"Delayed","On Time")</f>
        <v>Delayed</v>
      </c>
      <c r="Q443">
        <v>9</v>
      </c>
      <c r="R443">
        <v>830</v>
      </c>
      <c r="S443">
        <v>915</v>
      </c>
      <c r="T443">
        <v>4</v>
      </c>
      <c r="U443">
        <v>935</v>
      </c>
      <c r="V443" s="2">
        <v>919</v>
      </c>
      <c r="W443">
        <v>-16</v>
      </c>
      <c r="X443">
        <v>0</v>
      </c>
      <c r="Y443">
        <v>0</v>
      </c>
      <c r="Z443">
        <v>0</v>
      </c>
      <c r="AA443">
        <v>200</v>
      </c>
      <c r="AB443">
        <v>178</v>
      </c>
      <c r="AC443">
        <v>165</v>
      </c>
      <c r="AD443">
        <v>1235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">
      <c r="A444" s="1">
        <v>43529</v>
      </c>
      <c r="B444" s="1" t="str">
        <f>TEXT(flights_sample_3m[[#This Row],[FL_DATE]],"yyyy-mm")</f>
        <v>2019-03</v>
      </c>
      <c r="C444" t="s">
        <v>39</v>
      </c>
      <c r="D444" t="s">
        <v>40</v>
      </c>
      <c r="E444" t="s">
        <v>41</v>
      </c>
      <c r="F444">
        <v>19790</v>
      </c>
      <c r="G444">
        <v>2588</v>
      </c>
      <c r="H444" t="s">
        <v>159</v>
      </c>
      <c r="I444" t="s">
        <v>160</v>
      </c>
      <c r="J444" t="s">
        <v>177</v>
      </c>
      <c r="K444" t="s">
        <v>111</v>
      </c>
      <c r="L444">
        <v>800</v>
      </c>
      <c r="M444" s="2">
        <v>801</v>
      </c>
      <c r="N444">
        <v>1</v>
      </c>
      <c r="O444" t="str">
        <f>IF(flights_sample_3m[[#This Row],[DEP_DELAY]]&lt;=15,"No delay",IF(flights_sample_3m[[#This Row],[DEP_DELAY]]&lt;=60,"Short Delay","Long Delay"))</f>
        <v>No delay</v>
      </c>
      <c r="P444" t="str">
        <f>IF(flights_sample_3m[[#This Row],[DEP_DELAY]]&lt;=15,"Delayed","On Time")</f>
        <v>Delayed</v>
      </c>
      <c r="Q444">
        <v>15</v>
      </c>
      <c r="R444">
        <v>816</v>
      </c>
      <c r="S444">
        <v>1025</v>
      </c>
      <c r="T444">
        <v>12</v>
      </c>
      <c r="U444">
        <v>1050</v>
      </c>
      <c r="V444" s="2">
        <v>1037</v>
      </c>
      <c r="W444">
        <v>-13</v>
      </c>
      <c r="X444">
        <v>0</v>
      </c>
      <c r="Y444">
        <v>0</v>
      </c>
      <c r="Z444">
        <v>0</v>
      </c>
      <c r="AA444">
        <v>170</v>
      </c>
      <c r="AB444">
        <v>156</v>
      </c>
      <c r="AC444">
        <v>129</v>
      </c>
      <c r="AD444">
        <v>1010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">
      <c r="A445" s="1">
        <v>44804</v>
      </c>
      <c r="B445" s="1" t="str">
        <f>TEXT(flights_sample_3m[[#This Row],[FL_DATE]],"yyyy-mm")</f>
        <v>2022-08</v>
      </c>
      <c r="C445" t="s">
        <v>32</v>
      </c>
      <c r="D445" t="s">
        <v>33</v>
      </c>
      <c r="E445" t="s">
        <v>34</v>
      </c>
      <c r="F445">
        <v>19977</v>
      </c>
      <c r="G445">
        <v>1695</v>
      </c>
      <c r="H445" t="s">
        <v>53</v>
      </c>
      <c r="I445" t="s">
        <v>54</v>
      </c>
      <c r="J445" t="s">
        <v>76</v>
      </c>
      <c r="K445" t="s">
        <v>77</v>
      </c>
      <c r="L445">
        <v>721</v>
      </c>
      <c r="M445" s="2">
        <v>718</v>
      </c>
      <c r="N445">
        <v>-3</v>
      </c>
      <c r="O445" t="str">
        <f>IF(flights_sample_3m[[#This Row],[DEP_DELAY]]&lt;=15,"No delay",IF(flights_sample_3m[[#This Row],[DEP_DELAY]]&lt;=60,"Short Delay","Long Delay"))</f>
        <v>No delay</v>
      </c>
      <c r="P445" t="str">
        <f>IF(flights_sample_3m[[#This Row],[DEP_DELAY]]&lt;=15,"Delayed","On Time")</f>
        <v>Delayed</v>
      </c>
      <c r="Q445">
        <v>17</v>
      </c>
      <c r="R445">
        <v>735</v>
      </c>
      <c r="S445">
        <v>832</v>
      </c>
      <c r="T445">
        <v>6</v>
      </c>
      <c r="U445">
        <v>850</v>
      </c>
      <c r="V445" s="2">
        <v>838</v>
      </c>
      <c r="W445">
        <v>-12</v>
      </c>
      <c r="X445">
        <v>0</v>
      </c>
      <c r="Y445">
        <v>0</v>
      </c>
      <c r="Z445">
        <v>0</v>
      </c>
      <c r="AA445">
        <v>149</v>
      </c>
      <c r="AB445">
        <v>140</v>
      </c>
      <c r="AC445">
        <v>117</v>
      </c>
      <c r="AD445">
        <v>854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">
      <c r="A446" s="1">
        <v>44808</v>
      </c>
      <c r="B446" s="1" t="str">
        <f>TEXT(flights_sample_3m[[#This Row],[FL_DATE]],"yyyy-mm")</f>
        <v>2022-09</v>
      </c>
      <c r="C446" t="s">
        <v>126</v>
      </c>
      <c r="D446" t="s">
        <v>127</v>
      </c>
      <c r="E446" t="s">
        <v>128</v>
      </c>
      <c r="F446">
        <v>20368</v>
      </c>
      <c r="G446">
        <v>653</v>
      </c>
      <c r="H446" t="s">
        <v>385</v>
      </c>
      <c r="I446" t="s">
        <v>202</v>
      </c>
      <c r="J446" t="s">
        <v>272</v>
      </c>
      <c r="K446" t="s">
        <v>273</v>
      </c>
      <c r="L446">
        <v>1555</v>
      </c>
      <c r="M446" s="2">
        <v>1550</v>
      </c>
      <c r="N446">
        <v>-5</v>
      </c>
      <c r="O446" t="str">
        <f>IF(flights_sample_3m[[#This Row],[DEP_DELAY]]&lt;=15,"No delay",IF(flights_sample_3m[[#This Row],[DEP_DELAY]]&lt;=60,"Short Delay","Long Delay"))</f>
        <v>No delay</v>
      </c>
      <c r="P446" t="str">
        <f>IF(flights_sample_3m[[#This Row],[DEP_DELAY]]&lt;=15,"Delayed","On Time")</f>
        <v>Delayed</v>
      </c>
      <c r="Q446">
        <v>9</v>
      </c>
      <c r="R446">
        <v>1559</v>
      </c>
      <c r="S446">
        <v>2045</v>
      </c>
      <c r="T446">
        <v>5</v>
      </c>
      <c r="U446">
        <v>2050</v>
      </c>
      <c r="V446" s="2">
        <v>2050</v>
      </c>
      <c r="W446">
        <v>0</v>
      </c>
      <c r="X446">
        <v>0</v>
      </c>
      <c r="Y446">
        <v>0</v>
      </c>
      <c r="Z446">
        <v>0</v>
      </c>
      <c r="AA446">
        <v>175</v>
      </c>
      <c r="AB446">
        <v>180</v>
      </c>
      <c r="AC446">
        <v>166</v>
      </c>
      <c r="AD446">
        <v>1240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">
      <c r="A447" s="1">
        <v>44817</v>
      </c>
      <c r="B447" s="1" t="str">
        <f>TEXT(flights_sample_3m[[#This Row],[FL_DATE]],"yyyy-mm")</f>
        <v>2022-09</v>
      </c>
      <c r="C447" t="s">
        <v>57</v>
      </c>
      <c r="D447" t="s">
        <v>58</v>
      </c>
      <c r="E447" t="s">
        <v>59</v>
      </c>
      <c r="F447">
        <v>19393</v>
      </c>
      <c r="G447">
        <v>2108</v>
      </c>
      <c r="H447" t="s">
        <v>46</v>
      </c>
      <c r="I447" t="s">
        <v>47</v>
      </c>
      <c r="J447" t="s">
        <v>386</v>
      </c>
      <c r="K447" t="s">
        <v>387</v>
      </c>
      <c r="L447">
        <v>1950</v>
      </c>
      <c r="M447" s="2">
        <v>2011</v>
      </c>
      <c r="N447">
        <v>21</v>
      </c>
      <c r="O447" t="str">
        <f>IF(flights_sample_3m[[#This Row],[DEP_DELAY]]&lt;=15,"No delay",IF(flights_sample_3m[[#This Row],[DEP_DELAY]]&lt;=60,"Short Delay","Long Delay"))</f>
        <v>Short Delay</v>
      </c>
      <c r="P447" t="str">
        <f>IF(flights_sample_3m[[#This Row],[DEP_DELAY]]&lt;=15,"Delayed","On Time")</f>
        <v>On Time</v>
      </c>
      <c r="Q447">
        <v>20</v>
      </c>
      <c r="R447">
        <v>2031</v>
      </c>
      <c r="S447">
        <v>2147</v>
      </c>
      <c r="T447">
        <v>5</v>
      </c>
      <c r="U447">
        <v>2135</v>
      </c>
      <c r="V447" s="2">
        <v>2152</v>
      </c>
      <c r="W447">
        <v>17</v>
      </c>
      <c r="X447">
        <v>0</v>
      </c>
      <c r="Y447">
        <v>0</v>
      </c>
      <c r="Z447">
        <v>0</v>
      </c>
      <c r="AA447">
        <v>105</v>
      </c>
      <c r="AB447">
        <v>101</v>
      </c>
      <c r="AC447">
        <v>76</v>
      </c>
      <c r="AD447">
        <v>524</v>
      </c>
      <c r="AE447">
        <v>0</v>
      </c>
      <c r="AF447">
        <v>0</v>
      </c>
      <c r="AG447">
        <v>0</v>
      </c>
      <c r="AH447">
        <v>0</v>
      </c>
      <c r="AI447">
        <v>17</v>
      </c>
    </row>
    <row r="448" spans="1:35" x14ac:dyDescent="0.3">
      <c r="A448" s="1">
        <v>44631</v>
      </c>
      <c r="B448" s="1" t="str">
        <f>TEXT(flights_sample_3m[[#This Row],[FL_DATE]],"yyyy-mm")</f>
        <v>2022-03</v>
      </c>
      <c r="C448" t="s">
        <v>57</v>
      </c>
      <c r="D448" t="s">
        <v>58</v>
      </c>
      <c r="E448" t="s">
        <v>59</v>
      </c>
      <c r="F448">
        <v>19393</v>
      </c>
      <c r="G448">
        <v>1399</v>
      </c>
      <c r="H448" t="s">
        <v>129</v>
      </c>
      <c r="I448" t="s">
        <v>130</v>
      </c>
      <c r="J448" t="s">
        <v>201</v>
      </c>
      <c r="K448" t="s">
        <v>202</v>
      </c>
      <c r="L448">
        <v>955</v>
      </c>
      <c r="M448" s="2">
        <v>1002</v>
      </c>
      <c r="N448">
        <v>7</v>
      </c>
      <c r="O448" t="str">
        <f>IF(flights_sample_3m[[#This Row],[DEP_DELAY]]&lt;=15,"No delay",IF(flights_sample_3m[[#This Row],[DEP_DELAY]]&lt;=60,"Short Delay","Long Delay"))</f>
        <v>No delay</v>
      </c>
      <c r="P448" t="str">
        <f>IF(flights_sample_3m[[#This Row],[DEP_DELAY]]&lt;=15,"Delayed","On Time")</f>
        <v>Delayed</v>
      </c>
      <c r="Q448">
        <v>15</v>
      </c>
      <c r="R448">
        <v>1017</v>
      </c>
      <c r="S448">
        <v>1159</v>
      </c>
      <c r="T448">
        <v>5</v>
      </c>
      <c r="U448">
        <v>1210</v>
      </c>
      <c r="V448" s="2">
        <v>1204</v>
      </c>
      <c r="W448">
        <v>-6</v>
      </c>
      <c r="X448">
        <v>0</v>
      </c>
      <c r="Y448">
        <v>0</v>
      </c>
      <c r="Z448">
        <v>0</v>
      </c>
      <c r="AA448">
        <v>75</v>
      </c>
      <c r="AB448">
        <v>62</v>
      </c>
      <c r="AC448">
        <v>42</v>
      </c>
      <c r="AD448">
        <v>255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">
      <c r="A449" s="1">
        <v>44292</v>
      </c>
      <c r="B449" s="1" t="str">
        <f>TEXT(flights_sample_3m[[#This Row],[FL_DATE]],"yyyy-mm")</f>
        <v>2021-04</v>
      </c>
      <c r="C449" t="s">
        <v>148</v>
      </c>
      <c r="D449" t="s">
        <v>149</v>
      </c>
      <c r="E449" t="s">
        <v>150</v>
      </c>
      <c r="F449">
        <v>20304</v>
      </c>
      <c r="G449">
        <v>5311</v>
      </c>
      <c r="H449" t="s">
        <v>46</v>
      </c>
      <c r="I449" t="s">
        <v>47</v>
      </c>
      <c r="J449" t="s">
        <v>170</v>
      </c>
      <c r="K449" t="s">
        <v>171</v>
      </c>
      <c r="L449">
        <v>1745</v>
      </c>
      <c r="M449" s="2">
        <v>1809</v>
      </c>
      <c r="N449">
        <v>24</v>
      </c>
      <c r="O449" t="str">
        <f>IF(flights_sample_3m[[#This Row],[DEP_DELAY]]&lt;=15,"No delay",IF(flights_sample_3m[[#This Row],[DEP_DELAY]]&lt;=60,"Short Delay","Long Delay"))</f>
        <v>Short Delay</v>
      </c>
      <c r="P449" t="str">
        <f>IF(flights_sample_3m[[#This Row],[DEP_DELAY]]&lt;=15,"Delayed","On Time")</f>
        <v>On Time</v>
      </c>
      <c r="Q449">
        <v>36</v>
      </c>
      <c r="R449">
        <v>1845</v>
      </c>
      <c r="S449">
        <v>2316</v>
      </c>
      <c r="T449">
        <v>6</v>
      </c>
      <c r="U449">
        <v>2246</v>
      </c>
      <c r="V449" s="2">
        <v>2322</v>
      </c>
      <c r="W449">
        <v>36</v>
      </c>
      <c r="X449">
        <v>0</v>
      </c>
      <c r="Y449">
        <v>0</v>
      </c>
      <c r="Z449">
        <v>0</v>
      </c>
      <c r="AA449">
        <v>181</v>
      </c>
      <c r="AB449">
        <v>193</v>
      </c>
      <c r="AC449">
        <v>151</v>
      </c>
      <c r="AD449">
        <v>1123</v>
      </c>
      <c r="AE449">
        <v>36</v>
      </c>
      <c r="AF449">
        <v>0</v>
      </c>
      <c r="AG449">
        <v>0</v>
      </c>
      <c r="AH449">
        <v>0</v>
      </c>
      <c r="AI449">
        <v>0</v>
      </c>
    </row>
    <row r="450" spans="1:35" x14ac:dyDescent="0.3">
      <c r="A450" s="1">
        <v>44336</v>
      </c>
      <c r="B450" s="1" t="str">
        <f>TEXT(flights_sample_3m[[#This Row],[FL_DATE]],"yyyy-mm")</f>
        <v>2021-05</v>
      </c>
      <c r="C450" t="s">
        <v>39</v>
      </c>
      <c r="D450" t="s">
        <v>40</v>
      </c>
      <c r="E450" t="s">
        <v>41</v>
      </c>
      <c r="F450">
        <v>19790</v>
      </c>
      <c r="G450">
        <v>974</v>
      </c>
      <c r="H450" t="s">
        <v>129</v>
      </c>
      <c r="I450" t="s">
        <v>130</v>
      </c>
      <c r="J450" t="s">
        <v>42</v>
      </c>
      <c r="K450" t="s">
        <v>43</v>
      </c>
      <c r="L450">
        <v>1335</v>
      </c>
      <c r="M450" s="2">
        <v>1334</v>
      </c>
      <c r="N450">
        <v>-1</v>
      </c>
      <c r="O450" t="str">
        <f>IF(flights_sample_3m[[#This Row],[DEP_DELAY]]&lt;=15,"No delay",IF(flights_sample_3m[[#This Row],[DEP_DELAY]]&lt;=60,"Short Delay","Long Delay"))</f>
        <v>No delay</v>
      </c>
      <c r="P450" t="str">
        <f>IF(flights_sample_3m[[#This Row],[DEP_DELAY]]&lt;=15,"Delayed","On Time")</f>
        <v>Delayed</v>
      </c>
      <c r="Q450">
        <v>18</v>
      </c>
      <c r="R450">
        <v>1352</v>
      </c>
      <c r="S450">
        <v>1822</v>
      </c>
      <c r="T450">
        <v>3</v>
      </c>
      <c r="U450">
        <v>1846</v>
      </c>
      <c r="V450" s="2">
        <v>1825</v>
      </c>
      <c r="W450">
        <v>-21</v>
      </c>
      <c r="X450">
        <v>0</v>
      </c>
      <c r="Y450">
        <v>0</v>
      </c>
      <c r="Z450">
        <v>0</v>
      </c>
      <c r="AA450">
        <v>191</v>
      </c>
      <c r="AB450">
        <v>171</v>
      </c>
      <c r="AC450">
        <v>150</v>
      </c>
      <c r="AD450">
        <v>1299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">
      <c r="A451" s="1">
        <v>43691</v>
      </c>
      <c r="B451" s="1" t="str">
        <f>TEXT(flights_sample_3m[[#This Row],[FL_DATE]],"yyyy-mm")</f>
        <v>2019-08</v>
      </c>
      <c r="C451" t="s">
        <v>64</v>
      </c>
      <c r="D451" t="s">
        <v>65</v>
      </c>
      <c r="E451" t="s">
        <v>66</v>
      </c>
      <c r="F451">
        <v>19805</v>
      </c>
      <c r="G451">
        <v>1599</v>
      </c>
      <c r="H451" t="s">
        <v>309</v>
      </c>
      <c r="I451" t="s">
        <v>310</v>
      </c>
      <c r="J451" t="s">
        <v>55</v>
      </c>
      <c r="K451" t="s">
        <v>56</v>
      </c>
      <c r="L451">
        <v>1424</v>
      </c>
      <c r="M451" s="2">
        <v>1429</v>
      </c>
      <c r="N451">
        <v>5</v>
      </c>
      <c r="O451" t="str">
        <f>IF(flights_sample_3m[[#This Row],[DEP_DELAY]]&lt;=15,"No delay",IF(flights_sample_3m[[#This Row],[DEP_DELAY]]&lt;=60,"Short Delay","Long Delay"))</f>
        <v>No delay</v>
      </c>
      <c r="P451" t="str">
        <f>IF(flights_sample_3m[[#This Row],[DEP_DELAY]]&lt;=15,"Delayed","On Time")</f>
        <v>Delayed</v>
      </c>
      <c r="Q451">
        <v>10</v>
      </c>
      <c r="R451">
        <v>1439</v>
      </c>
      <c r="S451">
        <v>1907</v>
      </c>
      <c r="T451">
        <v>5</v>
      </c>
      <c r="U451">
        <v>1934</v>
      </c>
      <c r="V451" s="2">
        <v>1912</v>
      </c>
      <c r="W451">
        <v>-22</v>
      </c>
      <c r="X451">
        <v>0</v>
      </c>
      <c r="Y451">
        <v>0</v>
      </c>
      <c r="Z451">
        <v>0</v>
      </c>
      <c r="AA451">
        <v>190</v>
      </c>
      <c r="AB451">
        <v>163</v>
      </c>
      <c r="AC451">
        <v>148</v>
      </c>
      <c r="AD451">
        <v>1205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">
      <c r="A452" s="1">
        <v>45111</v>
      </c>
      <c r="B452" s="1" t="str">
        <f>TEXT(flights_sample_3m[[#This Row],[FL_DATE]],"yyyy-mm")</f>
        <v>2023-07</v>
      </c>
      <c r="C452" t="s">
        <v>80</v>
      </c>
      <c r="D452" t="s">
        <v>81</v>
      </c>
      <c r="E452" t="s">
        <v>82</v>
      </c>
      <c r="F452">
        <v>19930</v>
      </c>
      <c r="G452">
        <v>707</v>
      </c>
      <c r="H452" t="s">
        <v>129</v>
      </c>
      <c r="I452" t="s">
        <v>130</v>
      </c>
      <c r="J452" t="s">
        <v>78</v>
      </c>
      <c r="K452" t="s">
        <v>79</v>
      </c>
      <c r="L452">
        <v>1945</v>
      </c>
      <c r="M452" s="2">
        <v>1938</v>
      </c>
      <c r="N452">
        <v>-7</v>
      </c>
      <c r="O452" t="str">
        <f>IF(flights_sample_3m[[#This Row],[DEP_DELAY]]&lt;=15,"No delay",IF(flights_sample_3m[[#This Row],[DEP_DELAY]]&lt;=60,"Short Delay","Long Delay"))</f>
        <v>No delay</v>
      </c>
      <c r="P452" t="str">
        <f>IF(flights_sample_3m[[#This Row],[DEP_DELAY]]&lt;=15,"Delayed","On Time")</f>
        <v>Delayed</v>
      </c>
      <c r="Q452">
        <v>17</v>
      </c>
      <c r="R452">
        <v>1955</v>
      </c>
      <c r="S452">
        <v>2038</v>
      </c>
      <c r="T452">
        <v>36</v>
      </c>
      <c r="U452">
        <v>2102</v>
      </c>
      <c r="V452" s="2">
        <v>2114</v>
      </c>
      <c r="W452">
        <v>12</v>
      </c>
      <c r="X452">
        <v>0</v>
      </c>
      <c r="Y452">
        <v>0</v>
      </c>
      <c r="Z452">
        <v>0</v>
      </c>
      <c r="AA452">
        <v>77</v>
      </c>
      <c r="AB452">
        <v>96</v>
      </c>
      <c r="AC452">
        <v>43</v>
      </c>
      <c r="AD452">
        <v>236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">
      <c r="A453" s="1">
        <v>44905</v>
      </c>
      <c r="B453" s="1" t="str">
        <f>TEXT(flights_sample_3m[[#This Row],[FL_DATE]],"yyyy-mm")</f>
        <v>2022-12</v>
      </c>
      <c r="C453" t="s">
        <v>39</v>
      </c>
      <c r="D453" t="s">
        <v>40</v>
      </c>
      <c r="E453" t="s">
        <v>41</v>
      </c>
      <c r="F453">
        <v>19790</v>
      </c>
      <c r="G453">
        <v>738</v>
      </c>
      <c r="H453" t="s">
        <v>42</v>
      </c>
      <c r="I453" t="s">
        <v>43</v>
      </c>
      <c r="J453" t="s">
        <v>187</v>
      </c>
      <c r="K453" t="s">
        <v>188</v>
      </c>
      <c r="L453">
        <v>728</v>
      </c>
      <c r="M453" s="2">
        <v>739</v>
      </c>
      <c r="N453">
        <v>11</v>
      </c>
      <c r="O453" t="str">
        <f>IF(flights_sample_3m[[#This Row],[DEP_DELAY]]&lt;=15,"No delay",IF(flights_sample_3m[[#This Row],[DEP_DELAY]]&lt;=60,"Short Delay","Long Delay"))</f>
        <v>No delay</v>
      </c>
      <c r="P453" t="str">
        <f>IF(flights_sample_3m[[#This Row],[DEP_DELAY]]&lt;=15,"Delayed","On Time")</f>
        <v>Delayed</v>
      </c>
      <c r="Q453">
        <v>27</v>
      </c>
      <c r="R453">
        <v>806</v>
      </c>
      <c r="S453">
        <v>915</v>
      </c>
      <c r="T453">
        <v>6</v>
      </c>
      <c r="U453">
        <v>916</v>
      </c>
      <c r="V453" s="2">
        <v>921</v>
      </c>
      <c r="W453">
        <v>5</v>
      </c>
      <c r="X453">
        <v>0</v>
      </c>
      <c r="Y453">
        <v>0</v>
      </c>
      <c r="Z453">
        <v>0</v>
      </c>
      <c r="AA453">
        <v>108</v>
      </c>
      <c r="AB453">
        <v>102</v>
      </c>
      <c r="AC453">
        <v>69</v>
      </c>
      <c r="AD453">
        <v>448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">
      <c r="A454" s="1">
        <v>43930</v>
      </c>
      <c r="B454" s="1" t="str">
        <f>TEXT(flights_sample_3m[[#This Row],[FL_DATE]],"yyyy-mm")</f>
        <v>2020-04</v>
      </c>
      <c r="C454" t="s">
        <v>64</v>
      </c>
      <c r="D454" t="s">
        <v>65</v>
      </c>
      <c r="E454" t="s">
        <v>66</v>
      </c>
      <c r="F454">
        <v>19805</v>
      </c>
      <c r="G454">
        <v>2587</v>
      </c>
      <c r="H454" t="s">
        <v>55</v>
      </c>
      <c r="I454" t="s">
        <v>56</v>
      </c>
      <c r="J454" t="s">
        <v>251</v>
      </c>
      <c r="K454" t="s">
        <v>252</v>
      </c>
      <c r="L454">
        <v>2030</v>
      </c>
      <c r="M454" s="2">
        <v>2014</v>
      </c>
      <c r="N454">
        <v>-16</v>
      </c>
      <c r="O454" t="str">
        <f>IF(flights_sample_3m[[#This Row],[DEP_DELAY]]&lt;=15,"No delay",IF(flights_sample_3m[[#This Row],[DEP_DELAY]]&lt;=60,"Short Delay","Long Delay"))</f>
        <v>No delay</v>
      </c>
      <c r="P454" t="str">
        <f>IF(flights_sample_3m[[#This Row],[DEP_DELAY]]&lt;=15,"Delayed","On Time")</f>
        <v>Delayed</v>
      </c>
      <c r="Q454">
        <v>12</v>
      </c>
      <c r="R454">
        <v>2026</v>
      </c>
      <c r="S454">
        <v>2331</v>
      </c>
      <c r="T454">
        <v>5</v>
      </c>
      <c r="U454">
        <v>26</v>
      </c>
      <c r="V454" s="2">
        <v>2336</v>
      </c>
      <c r="W454">
        <v>-50</v>
      </c>
      <c r="X454">
        <v>0</v>
      </c>
      <c r="Y454">
        <v>0</v>
      </c>
      <c r="Z454">
        <v>0</v>
      </c>
      <c r="AA454">
        <v>176</v>
      </c>
      <c r="AB454">
        <v>142</v>
      </c>
      <c r="AC454">
        <v>125</v>
      </c>
      <c r="AD454">
        <v>1212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">
      <c r="A455" s="1">
        <v>43826</v>
      </c>
      <c r="B455" s="1" t="str">
        <f>TEXT(flights_sample_3m[[#This Row],[FL_DATE]],"yyyy-mm")</f>
        <v>2019-12</v>
      </c>
      <c r="C455" t="s">
        <v>148</v>
      </c>
      <c r="D455" t="s">
        <v>149</v>
      </c>
      <c r="E455" t="s">
        <v>150</v>
      </c>
      <c r="F455">
        <v>20304</v>
      </c>
      <c r="G455">
        <v>3066</v>
      </c>
      <c r="H455" t="s">
        <v>55</v>
      </c>
      <c r="I455" t="s">
        <v>56</v>
      </c>
      <c r="J455" t="s">
        <v>388</v>
      </c>
      <c r="K455" t="s">
        <v>389</v>
      </c>
      <c r="L455">
        <v>1639</v>
      </c>
      <c r="M455" s="2">
        <v>1635</v>
      </c>
      <c r="N455">
        <v>-4</v>
      </c>
      <c r="O455" t="str">
        <f>IF(flights_sample_3m[[#This Row],[DEP_DELAY]]&lt;=15,"No delay",IF(flights_sample_3m[[#This Row],[DEP_DELAY]]&lt;=60,"Short Delay","Long Delay"))</f>
        <v>No delay</v>
      </c>
      <c r="P455" t="str">
        <f>IF(flights_sample_3m[[#This Row],[DEP_DELAY]]&lt;=15,"Delayed","On Time")</f>
        <v>Delayed</v>
      </c>
      <c r="Q455">
        <v>16</v>
      </c>
      <c r="R455">
        <v>1651</v>
      </c>
      <c r="S455">
        <v>1731</v>
      </c>
      <c r="T455">
        <v>4</v>
      </c>
      <c r="U455">
        <v>1746</v>
      </c>
      <c r="V455" s="2">
        <v>1735</v>
      </c>
      <c r="W455">
        <v>-11</v>
      </c>
      <c r="X455">
        <v>0</v>
      </c>
      <c r="Y455">
        <v>0</v>
      </c>
      <c r="Z455">
        <v>0</v>
      </c>
      <c r="AA455">
        <v>67</v>
      </c>
      <c r="AB455">
        <v>60</v>
      </c>
      <c r="AC455">
        <v>40</v>
      </c>
      <c r="AD455">
        <v>227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">
      <c r="A456" s="1">
        <v>43823</v>
      </c>
      <c r="B456" s="1" t="str">
        <f>TEXT(flights_sample_3m[[#This Row],[FL_DATE]],"yyyy-mm")</f>
        <v>2019-12</v>
      </c>
      <c r="C456" t="s">
        <v>148</v>
      </c>
      <c r="D456" t="s">
        <v>149</v>
      </c>
      <c r="E456" t="s">
        <v>150</v>
      </c>
      <c r="F456">
        <v>20304</v>
      </c>
      <c r="G456">
        <v>5082</v>
      </c>
      <c r="H456" t="s">
        <v>390</v>
      </c>
      <c r="I456" t="s">
        <v>391</v>
      </c>
      <c r="J456" t="s">
        <v>106</v>
      </c>
      <c r="K456" t="s">
        <v>92</v>
      </c>
      <c r="L456">
        <v>550</v>
      </c>
      <c r="M456" s="2">
        <v>544</v>
      </c>
      <c r="N456">
        <v>-6</v>
      </c>
      <c r="O456" t="str">
        <f>IF(flights_sample_3m[[#This Row],[DEP_DELAY]]&lt;=15,"No delay",IF(flights_sample_3m[[#This Row],[DEP_DELAY]]&lt;=60,"Short Delay","Long Delay"))</f>
        <v>No delay</v>
      </c>
      <c r="P456" t="str">
        <f>IF(flights_sample_3m[[#This Row],[DEP_DELAY]]&lt;=15,"Delayed","On Time")</f>
        <v>Delayed</v>
      </c>
      <c r="Q456">
        <v>41</v>
      </c>
      <c r="R456">
        <v>625</v>
      </c>
      <c r="S456">
        <v>553</v>
      </c>
      <c r="T456">
        <v>8</v>
      </c>
      <c r="U456">
        <v>607</v>
      </c>
      <c r="V456" s="2">
        <v>601</v>
      </c>
      <c r="W456">
        <v>-6</v>
      </c>
      <c r="X456">
        <v>0</v>
      </c>
      <c r="Y456">
        <v>0</v>
      </c>
      <c r="Z456">
        <v>0</v>
      </c>
      <c r="AA456">
        <v>77</v>
      </c>
      <c r="AB456">
        <v>77</v>
      </c>
      <c r="AC456">
        <v>28</v>
      </c>
      <c r="AD456">
        <v>119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">
      <c r="A457" s="1">
        <v>44027</v>
      </c>
      <c r="B457" s="1" t="str">
        <f>TEXT(flights_sample_3m[[#This Row],[FL_DATE]],"yyyy-mm")</f>
        <v>2020-07</v>
      </c>
      <c r="C457" t="s">
        <v>148</v>
      </c>
      <c r="D457" t="s">
        <v>149</v>
      </c>
      <c r="E457" t="s">
        <v>150</v>
      </c>
      <c r="F457">
        <v>20304</v>
      </c>
      <c r="G457">
        <v>4262</v>
      </c>
      <c r="H457" t="s">
        <v>42</v>
      </c>
      <c r="I457" t="s">
        <v>43</v>
      </c>
      <c r="J457" t="s">
        <v>392</v>
      </c>
      <c r="K457" t="s">
        <v>393</v>
      </c>
      <c r="L457">
        <v>1303</v>
      </c>
      <c r="M457" s="2">
        <v>1300</v>
      </c>
      <c r="N457">
        <v>-3</v>
      </c>
      <c r="O457" t="str">
        <f>IF(flights_sample_3m[[#This Row],[DEP_DELAY]]&lt;=15,"No delay",IF(flights_sample_3m[[#This Row],[DEP_DELAY]]&lt;=60,"Short Delay","Long Delay"))</f>
        <v>No delay</v>
      </c>
      <c r="P457" t="str">
        <f>IF(flights_sample_3m[[#This Row],[DEP_DELAY]]&lt;=15,"Delayed","On Time")</f>
        <v>Delayed</v>
      </c>
      <c r="Q457">
        <v>14</v>
      </c>
      <c r="R457">
        <v>1314</v>
      </c>
      <c r="S457">
        <v>1340</v>
      </c>
      <c r="T457">
        <v>3</v>
      </c>
      <c r="U457">
        <v>1350</v>
      </c>
      <c r="V457" s="2">
        <v>1343</v>
      </c>
      <c r="W457">
        <v>-7</v>
      </c>
      <c r="X457">
        <v>0</v>
      </c>
      <c r="Y457">
        <v>0</v>
      </c>
      <c r="Z457">
        <v>0</v>
      </c>
      <c r="AA457">
        <v>47</v>
      </c>
      <c r="AB457">
        <v>43</v>
      </c>
      <c r="AC457">
        <v>26</v>
      </c>
      <c r="AD457">
        <v>114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">
      <c r="A458" s="1">
        <v>43913</v>
      </c>
      <c r="B458" s="1" t="str">
        <f>TEXT(flights_sample_3m[[#This Row],[FL_DATE]],"yyyy-mm")</f>
        <v>2020-03</v>
      </c>
      <c r="C458" t="s">
        <v>39</v>
      </c>
      <c r="D458" t="s">
        <v>40</v>
      </c>
      <c r="E458" t="s">
        <v>41</v>
      </c>
      <c r="F458">
        <v>19790</v>
      </c>
      <c r="G458">
        <v>2531</v>
      </c>
      <c r="H458" t="s">
        <v>146</v>
      </c>
      <c r="I458" t="s">
        <v>147</v>
      </c>
      <c r="J458" t="s">
        <v>170</v>
      </c>
      <c r="K458" t="s">
        <v>171</v>
      </c>
      <c r="L458">
        <v>2355</v>
      </c>
      <c r="M458" s="2">
        <v>2347</v>
      </c>
      <c r="N458">
        <v>-8</v>
      </c>
      <c r="O458" t="str">
        <f>IF(flights_sample_3m[[#This Row],[DEP_DELAY]]&lt;=15,"No delay",IF(flights_sample_3m[[#This Row],[DEP_DELAY]]&lt;=60,"Short Delay","Long Delay"))</f>
        <v>No delay</v>
      </c>
      <c r="P458" t="str">
        <f>IF(flights_sample_3m[[#This Row],[DEP_DELAY]]&lt;=15,"Delayed","On Time")</f>
        <v>Delayed</v>
      </c>
      <c r="Q458">
        <v>10</v>
      </c>
      <c r="R458">
        <v>2357</v>
      </c>
      <c r="S458">
        <v>446</v>
      </c>
      <c r="T458">
        <v>7</v>
      </c>
      <c r="U458">
        <v>520</v>
      </c>
      <c r="V458" s="2">
        <v>453</v>
      </c>
      <c r="W458">
        <v>-27</v>
      </c>
      <c r="X458">
        <v>0</v>
      </c>
      <c r="Y458">
        <v>0</v>
      </c>
      <c r="Z458">
        <v>0</v>
      </c>
      <c r="AA458">
        <v>205</v>
      </c>
      <c r="AB458">
        <v>186</v>
      </c>
      <c r="AC458">
        <v>169</v>
      </c>
      <c r="AD458">
        <v>1481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">
      <c r="A459" s="1">
        <v>43997</v>
      </c>
      <c r="B459" s="1" t="str">
        <f>TEXT(flights_sample_3m[[#This Row],[FL_DATE]],"yyyy-mm")</f>
        <v>2020-06</v>
      </c>
      <c r="C459" t="s">
        <v>32</v>
      </c>
      <c r="D459" t="s">
        <v>33</v>
      </c>
      <c r="E459" t="s">
        <v>34</v>
      </c>
      <c r="F459">
        <v>19977</v>
      </c>
      <c r="G459">
        <v>2439</v>
      </c>
      <c r="H459" t="s">
        <v>48</v>
      </c>
      <c r="I459" t="s">
        <v>49</v>
      </c>
      <c r="J459" t="s">
        <v>37</v>
      </c>
      <c r="K459" t="s">
        <v>38</v>
      </c>
      <c r="L459">
        <v>840</v>
      </c>
      <c r="M459" s="2">
        <v>835</v>
      </c>
      <c r="N459">
        <v>-5</v>
      </c>
      <c r="O459" t="str">
        <f>IF(flights_sample_3m[[#This Row],[DEP_DELAY]]&lt;=15,"No delay",IF(flights_sample_3m[[#This Row],[DEP_DELAY]]&lt;=60,"Short Delay","Long Delay"))</f>
        <v>No delay</v>
      </c>
      <c r="P459" t="str">
        <f>IF(flights_sample_3m[[#This Row],[DEP_DELAY]]&lt;=15,"Delayed","On Time")</f>
        <v>Delayed</v>
      </c>
      <c r="Q459">
        <v>16</v>
      </c>
      <c r="R459">
        <v>851</v>
      </c>
      <c r="S459">
        <v>1632</v>
      </c>
      <c r="T459">
        <v>6</v>
      </c>
      <c r="U459">
        <v>1647</v>
      </c>
      <c r="V459" s="2">
        <v>1638</v>
      </c>
      <c r="W459">
        <v>-9</v>
      </c>
      <c r="X459">
        <v>0</v>
      </c>
      <c r="Y459">
        <v>0</v>
      </c>
      <c r="Z459">
        <v>0</v>
      </c>
      <c r="AA459">
        <v>307</v>
      </c>
      <c r="AB459">
        <v>303</v>
      </c>
      <c r="AC459">
        <v>281</v>
      </c>
      <c r="AD459">
        <v>2565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 s="1">
        <v>43525</v>
      </c>
      <c r="B460" s="1" t="str">
        <f>TEXT(flights_sample_3m[[#This Row],[FL_DATE]],"yyyy-mm")</f>
        <v>2019-03</v>
      </c>
      <c r="C460" t="s">
        <v>182</v>
      </c>
      <c r="D460" t="s">
        <v>183</v>
      </c>
      <c r="E460" t="s">
        <v>184</v>
      </c>
      <c r="F460">
        <v>20398</v>
      </c>
      <c r="G460">
        <v>3401</v>
      </c>
      <c r="H460" t="s">
        <v>383</v>
      </c>
      <c r="I460" t="s">
        <v>384</v>
      </c>
      <c r="J460" t="s">
        <v>106</v>
      </c>
      <c r="K460" t="s">
        <v>92</v>
      </c>
      <c r="L460">
        <v>608</v>
      </c>
      <c r="M460" s="2">
        <v>556</v>
      </c>
      <c r="N460">
        <v>-12</v>
      </c>
      <c r="O460" t="str">
        <f>IF(flights_sample_3m[[#This Row],[DEP_DELAY]]&lt;=15,"No delay",IF(flights_sample_3m[[#This Row],[DEP_DELAY]]&lt;=60,"Short Delay","Long Delay"))</f>
        <v>No delay</v>
      </c>
      <c r="P460" t="str">
        <f>IF(flights_sample_3m[[#This Row],[DEP_DELAY]]&lt;=15,"Delayed","On Time")</f>
        <v>Delayed</v>
      </c>
      <c r="Q460">
        <v>29</v>
      </c>
      <c r="R460">
        <v>625</v>
      </c>
      <c r="S460">
        <v>700</v>
      </c>
      <c r="T460">
        <v>38</v>
      </c>
      <c r="U460">
        <v>720</v>
      </c>
      <c r="V460" s="2">
        <v>738</v>
      </c>
      <c r="W460">
        <v>18</v>
      </c>
      <c r="X460">
        <v>0</v>
      </c>
      <c r="Y460">
        <v>0</v>
      </c>
      <c r="Z460">
        <v>0</v>
      </c>
      <c r="AA460">
        <v>72</v>
      </c>
      <c r="AB460">
        <v>102</v>
      </c>
      <c r="AC460">
        <v>35</v>
      </c>
      <c r="AD460">
        <v>139</v>
      </c>
      <c r="AE460">
        <v>0</v>
      </c>
      <c r="AF460">
        <v>0</v>
      </c>
      <c r="AG460">
        <v>18</v>
      </c>
      <c r="AH460">
        <v>0</v>
      </c>
      <c r="AI460">
        <v>0</v>
      </c>
    </row>
    <row r="461" spans="1:35" x14ac:dyDescent="0.3">
      <c r="A461" s="1">
        <v>44971</v>
      </c>
      <c r="B461" s="1" t="str">
        <f>TEXT(flights_sample_3m[[#This Row],[FL_DATE]],"yyyy-mm")</f>
        <v>2023-02</v>
      </c>
      <c r="C461" t="s">
        <v>71</v>
      </c>
      <c r="D461" t="s">
        <v>72</v>
      </c>
      <c r="E461" t="s">
        <v>73</v>
      </c>
      <c r="F461">
        <v>20452</v>
      </c>
      <c r="G461">
        <v>3464</v>
      </c>
      <c r="H461" t="s">
        <v>106</v>
      </c>
      <c r="I461" t="s">
        <v>92</v>
      </c>
      <c r="J461" t="s">
        <v>262</v>
      </c>
      <c r="K461" t="s">
        <v>263</v>
      </c>
      <c r="L461">
        <v>2105</v>
      </c>
      <c r="M461" s="2">
        <v>2104</v>
      </c>
      <c r="N461">
        <v>-1</v>
      </c>
      <c r="O461" t="str">
        <f>IF(flights_sample_3m[[#This Row],[DEP_DELAY]]&lt;=15,"No delay",IF(flights_sample_3m[[#This Row],[DEP_DELAY]]&lt;=60,"Short Delay","Long Delay"))</f>
        <v>No delay</v>
      </c>
      <c r="P461" t="str">
        <f>IF(flights_sample_3m[[#This Row],[DEP_DELAY]]&lt;=15,"Delayed","On Time")</f>
        <v>Delayed</v>
      </c>
      <c r="Q461">
        <v>18</v>
      </c>
      <c r="R461">
        <v>2122</v>
      </c>
      <c r="S461">
        <v>2319</v>
      </c>
      <c r="T461">
        <v>5</v>
      </c>
      <c r="U461">
        <v>2335</v>
      </c>
      <c r="V461" s="2">
        <v>2324</v>
      </c>
      <c r="W461">
        <v>-11</v>
      </c>
      <c r="X461">
        <v>0</v>
      </c>
      <c r="Y461">
        <v>0</v>
      </c>
      <c r="Z461">
        <v>0</v>
      </c>
      <c r="AA461">
        <v>90</v>
      </c>
      <c r="AB461">
        <v>80</v>
      </c>
      <c r="AC461">
        <v>57</v>
      </c>
      <c r="AD461">
        <v>413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">
      <c r="A462" s="1">
        <v>43583</v>
      </c>
      <c r="B462" s="1" t="str">
        <f>TEXT(flights_sample_3m[[#This Row],[FL_DATE]],"yyyy-mm")</f>
        <v>2019-04</v>
      </c>
      <c r="C462" t="s">
        <v>80</v>
      </c>
      <c r="D462" t="s">
        <v>81</v>
      </c>
      <c r="E462" t="s">
        <v>82</v>
      </c>
      <c r="F462">
        <v>19930</v>
      </c>
      <c r="G462">
        <v>62</v>
      </c>
      <c r="H462" t="s">
        <v>373</v>
      </c>
      <c r="I462" t="s">
        <v>374</v>
      </c>
      <c r="J462" t="s">
        <v>394</v>
      </c>
      <c r="K462" t="s">
        <v>395</v>
      </c>
      <c r="L462">
        <v>805</v>
      </c>
      <c r="M462" s="2">
        <v>802</v>
      </c>
      <c r="N462">
        <v>-3</v>
      </c>
      <c r="O462" t="str">
        <f>IF(flights_sample_3m[[#This Row],[DEP_DELAY]]&lt;=15,"No delay",IF(flights_sample_3m[[#This Row],[DEP_DELAY]]&lt;=60,"Short Delay","Long Delay"))</f>
        <v>No delay</v>
      </c>
      <c r="P462" t="str">
        <f>IF(flights_sample_3m[[#This Row],[DEP_DELAY]]&lt;=15,"Delayed","On Time")</f>
        <v>Delayed</v>
      </c>
      <c r="Q462">
        <v>10</v>
      </c>
      <c r="R462">
        <v>812</v>
      </c>
      <c r="S462">
        <v>924</v>
      </c>
      <c r="T462">
        <v>5</v>
      </c>
      <c r="U462">
        <v>940</v>
      </c>
      <c r="V462" s="2">
        <v>929</v>
      </c>
      <c r="W462">
        <v>-11</v>
      </c>
      <c r="X462">
        <v>0</v>
      </c>
      <c r="Y462">
        <v>0</v>
      </c>
      <c r="Z462">
        <v>0</v>
      </c>
      <c r="AA462">
        <v>95</v>
      </c>
      <c r="AB462">
        <v>87</v>
      </c>
      <c r="AC462">
        <v>72</v>
      </c>
      <c r="AD462">
        <v>571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 s="1">
        <v>43705</v>
      </c>
      <c r="B463" s="1" t="str">
        <f>TEXT(flights_sample_3m[[#This Row],[FL_DATE]],"yyyy-mm")</f>
        <v>2019-08</v>
      </c>
      <c r="C463" t="s">
        <v>148</v>
      </c>
      <c r="D463" t="s">
        <v>149</v>
      </c>
      <c r="E463" t="s">
        <v>150</v>
      </c>
      <c r="F463">
        <v>20304</v>
      </c>
      <c r="G463">
        <v>3257</v>
      </c>
      <c r="H463" t="s">
        <v>55</v>
      </c>
      <c r="I463" t="s">
        <v>56</v>
      </c>
      <c r="J463" t="s">
        <v>396</v>
      </c>
      <c r="K463" t="s">
        <v>397</v>
      </c>
      <c r="L463">
        <v>900</v>
      </c>
      <c r="M463" s="2">
        <v>855</v>
      </c>
      <c r="N463">
        <v>-5</v>
      </c>
      <c r="O463" t="str">
        <f>IF(flights_sample_3m[[#This Row],[DEP_DELAY]]&lt;=15,"No delay",IF(flights_sample_3m[[#This Row],[DEP_DELAY]]&lt;=60,"Short Delay","Long Delay"))</f>
        <v>No delay</v>
      </c>
      <c r="P463" t="str">
        <f>IF(flights_sample_3m[[#This Row],[DEP_DELAY]]&lt;=15,"Delayed","On Time")</f>
        <v>Delayed</v>
      </c>
      <c r="Q463">
        <v>26</v>
      </c>
      <c r="R463">
        <v>921</v>
      </c>
      <c r="S463">
        <v>923</v>
      </c>
      <c r="T463">
        <v>5</v>
      </c>
      <c r="U463">
        <v>948</v>
      </c>
      <c r="V463" s="2">
        <v>928</v>
      </c>
      <c r="W463">
        <v>-20</v>
      </c>
      <c r="X463">
        <v>0</v>
      </c>
      <c r="Y463">
        <v>0</v>
      </c>
      <c r="Z463">
        <v>0</v>
      </c>
      <c r="AA463">
        <v>108</v>
      </c>
      <c r="AB463">
        <v>93</v>
      </c>
      <c r="AC463">
        <v>62</v>
      </c>
      <c r="AD463">
        <v>435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">
      <c r="A464" s="1">
        <v>43812</v>
      </c>
      <c r="B464" s="1" t="str">
        <f>TEXT(flights_sample_3m[[#This Row],[FL_DATE]],"yyyy-mm")</f>
        <v>2019-12</v>
      </c>
      <c r="C464" t="s">
        <v>39</v>
      </c>
      <c r="D464" t="s">
        <v>40</v>
      </c>
      <c r="E464" t="s">
        <v>41</v>
      </c>
      <c r="F464">
        <v>19790</v>
      </c>
      <c r="G464">
        <v>499</v>
      </c>
      <c r="H464" t="s">
        <v>170</v>
      </c>
      <c r="I464" t="s">
        <v>171</v>
      </c>
      <c r="J464" t="s">
        <v>123</v>
      </c>
      <c r="K464" t="s">
        <v>124</v>
      </c>
      <c r="L464">
        <v>700</v>
      </c>
      <c r="M464" s="2">
        <v>656</v>
      </c>
      <c r="N464">
        <v>-4</v>
      </c>
      <c r="O464" t="str">
        <f>IF(flights_sample_3m[[#This Row],[DEP_DELAY]]&lt;=15,"No delay",IF(flights_sample_3m[[#This Row],[DEP_DELAY]]&lt;=60,"Short Delay","Long Delay"))</f>
        <v>No delay</v>
      </c>
      <c r="P464" t="str">
        <f>IF(flights_sample_3m[[#This Row],[DEP_DELAY]]&lt;=15,"Delayed","On Time")</f>
        <v>Delayed</v>
      </c>
      <c r="Q464">
        <v>30</v>
      </c>
      <c r="R464">
        <v>726</v>
      </c>
      <c r="S464">
        <v>856</v>
      </c>
      <c r="T464">
        <v>7</v>
      </c>
      <c r="U464">
        <v>904</v>
      </c>
      <c r="V464" s="2">
        <v>903</v>
      </c>
      <c r="W464">
        <v>-1</v>
      </c>
      <c r="X464">
        <v>0</v>
      </c>
      <c r="Y464">
        <v>0</v>
      </c>
      <c r="Z464">
        <v>0</v>
      </c>
      <c r="AA464">
        <v>124</v>
      </c>
      <c r="AB464">
        <v>127</v>
      </c>
      <c r="AC464">
        <v>90</v>
      </c>
      <c r="AD464">
        <v>500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">
      <c r="A465" s="1">
        <v>44760</v>
      </c>
      <c r="B465" s="1" t="str">
        <f>TEXT(flights_sample_3m[[#This Row],[FL_DATE]],"yyyy-mm")</f>
        <v>2022-07</v>
      </c>
      <c r="C465" t="s">
        <v>148</v>
      </c>
      <c r="D465" t="s">
        <v>149</v>
      </c>
      <c r="E465" t="s">
        <v>150</v>
      </c>
      <c r="F465">
        <v>20304</v>
      </c>
      <c r="G465">
        <v>4067</v>
      </c>
      <c r="H465" t="s">
        <v>91</v>
      </c>
      <c r="I465" t="s">
        <v>92</v>
      </c>
      <c r="J465" t="s">
        <v>42</v>
      </c>
      <c r="K465" t="s">
        <v>43</v>
      </c>
      <c r="L465">
        <v>1408</v>
      </c>
      <c r="M465" s="2">
        <v>1806</v>
      </c>
      <c r="N465">
        <v>238</v>
      </c>
      <c r="O465" t="str">
        <f>IF(flights_sample_3m[[#This Row],[DEP_DELAY]]&lt;=15,"No delay",IF(flights_sample_3m[[#This Row],[DEP_DELAY]]&lt;=60,"Short Delay","Long Delay"))</f>
        <v>Long Delay</v>
      </c>
      <c r="P465" t="str">
        <f>IF(flights_sample_3m[[#This Row],[DEP_DELAY]]&lt;=15,"Delayed","On Time")</f>
        <v>On Time</v>
      </c>
      <c r="Q465">
        <v>16</v>
      </c>
      <c r="R465">
        <v>1822</v>
      </c>
      <c r="S465">
        <v>1925</v>
      </c>
      <c r="T465">
        <v>8</v>
      </c>
      <c r="U465">
        <v>1541</v>
      </c>
      <c r="V465" s="2">
        <v>1933</v>
      </c>
      <c r="W465">
        <v>232</v>
      </c>
      <c r="X465">
        <v>0</v>
      </c>
      <c r="Y465">
        <v>0</v>
      </c>
      <c r="Z465">
        <v>0</v>
      </c>
      <c r="AA465">
        <v>93</v>
      </c>
      <c r="AB465">
        <v>87</v>
      </c>
      <c r="AC465">
        <v>63</v>
      </c>
      <c r="AD465">
        <v>349</v>
      </c>
      <c r="AE465">
        <v>0</v>
      </c>
      <c r="AF465">
        <v>232</v>
      </c>
      <c r="AG465">
        <v>0</v>
      </c>
      <c r="AH465">
        <v>0</v>
      </c>
      <c r="AI465">
        <v>0</v>
      </c>
    </row>
    <row r="466" spans="1:35" x14ac:dyDescent="0.3">
      <c r="A466" s="1">
        <v>44984</v>
      </c>
      <c r="B466" s="1" t="str">
        <f>TEXT(flights_sample_3m[[#This Row],[FL_DATE]],"yyyy-mm")</f>
        <v>2023-02</v>
      </c>
      <c r="C466" t="s">
        <v>189</v>
      </c>
      <c r="D466" t="s">
        <v>190</v>
      </c>
      <c r="E466" t="s">
        <v>191</v>
      </c>
      <c r="F466">
        <v>20436</v>
      </c>
      <c r="G466">
        <v>502</v>
      </c>
      <c r="H466" t="s">
        <v>46</v>
      </c>
      <c r="I466" t="s">
        <v>47</v>
      </c>
      <c r="J466" t="s">
        <v>55</v>
      </c>
      <c r="K466" t="s">
        <v>56</v>
      </c>
      <c r="L466">
        <v>1203</v>
      </c>
      <c r="M466" s="2">
        <v>1200</v>
      </c>
      <c r="N466">
        <v>-3</v>
      </c>
      <c r="O466" t="str">
        <f>IF(flights_sample_3m[[#This Row],[DEP_DELAY]]&lt;=15,"No delay",IF(flights_sample_3m[[#This Row],[DEP_DELAY]]&lt;=60,"Short Delay","Long Delay"))</f>
        <v>No delay</v>
      </c>
      <c r="P466" t="str">
        <f>IF(flights_sample_3m[[#This Row],[DEP_DELAY]]&lt;=15,"Delayed","On Time")</f>
        <v>Delayed</v>
      </c>
      <c r="Q466">
        <v>16</v>
      </c>
      <c r="R466">
        <v>1216</v>
      </c>
      <c r="S466">
        <v>1445</v>
      </c>
      <c r="T466">
        <v>12</v>
      </c>
      <c r="U466">
        <v>1505</v>
      </c>
      <c r="V466" s="2">
        <v>1457</v>
      </c>
      <c r="W466">
        <v>-8</v>
      </c>
      <c r="X466">
        <v>0</v>
      </c>
      <c r="Y466">
        <v>0</v>
      </c>
      <c r="Z466">
        <v>0</v>
      </c>
      <c r="AA466">
        <v>122</v>
      </c>
      <c r="AB466">
        <v>117</v>
      </c>
      <c r="AC466">
        <v>89</v>
      </c>
      <c r="AD466">
        <v>641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">
      <c r="A467" s="1">
        <v>45018</v>
      </c>
      <c r="B467" s="1" t="str">
        <f>TEXT(flights_sample_3m[[#This Row],[FL_DATE]],"yyyy-mm")</f>
        <v>2023-04</v>
      </c>
      <c r="C467" t="s">
        <v>311</v>
      </c>
      <c r="D467" t="s">
        <v>312</v>
      </c>
      <c r="E467" t="s">
        <v>313</v>
      </c>
      <c r="F467">
        <v>19690</v>
      </c>
      <c r="G467">
        <v>57</v>
      </c>
      <c r="H467" t="s">
        <v>194</v>
      </c>
      <c r="I467" t="s">
        <v>195</v>
      </c>
      <c r="J467" t="s">
        <v>314</v>
      </c>
      <c r="K467" t="s">
        <v>315</v>
      </c>
      <c r="L467">
        <v>910</v>
      </c>
      <c r="M467" s="2">
        <v>934</v>
      </c>
      <c r="N467">
        <v>24</v>
      </c>
      <c r="O467" t="str">
        <f>IF(flights_sample_3m[[#This Row],[DEP_DELAY]]&lt;=15,"No delay",IF(flights_sample_3m[[#This Row],[DEP_DELAY]]&lt;=60,"Short Delay","Long Delay"))</f>
        <v>Short Delay</v>
      </c>
      <c r="P467" t="str">
        <f>IF(flights_sample_3m[[#This Row],[DEP_DELAY]]&lt;=15,"Delayed","On Time")</f>
        <v>On Time</v>
      </c>
      <c r="Q467">
        <v>18</v>
      </c>
      <c r="R467">
        <v>952</v>
      </c>
      <c r="S467">
        <v>1214</v>
      </c>
      <c r="T467">
        <v>5</v>
      </c>
      <c r="U467">
        <v>1215</v>
      </c>
      <c r="V467" s="2">
        <v>1219</v>
      </c>
      <c r="W467">
        <v>4</v>
      </c>
      <c r="X467">
        <v>0</v>
      </c>
      <c r="Y467">
        <v>0</v>
      </c>
      <c r="Z467">
        <v>0</v>
      </c>
      <c r="AA467">
        <v>365</v>
      </c>
      <c r="AB467">
        <v>345</v>
      </c>
      <c r="AC467">
        <v>322</v>
      </c>
      <c r="AD467">
        <v>2541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">
      <c r="A468" s="1">
        <v>44528</v>
      </c>
      <c r="B468" s="1" t="str">
        <f>TEXT(flights_sample_3m[[#This Row],[FL_DATE]],"yyyy-mm")</f>
        <v>2021-11</v>
      </c>
      <c r="C468" t="s">
        <v>57</v>
      </c>
      <c r="D468" t="s">
        <v>58</v>
      </c>
      <c r="E468" t="s">
        <v>59</v>
      </c>
      <c r="F468">
        <v>19393</v>
      </c>
      <c r="G468">
        <v>2540</v>
      </c>
      <c r="H468" t="s">
        <v>225</v>
      </c>
      <c r="I468" t="s">
        <v>226</v>
      </c>
      <c r="J468" t="s">
        <v>104</v>
      </c>
      <c r="K468" t="s">
        <v>105</v>
      </c>
      <c r="L468">
        <v>915</v>
      </c>
      <c r="M468" s="2">
        <v>912</v>
      </c>
      <c r="N468">
        <v>-3</v>
      </c>
      <c r="O468" t="str">
        <f>IF(flights_sample_3m[[#This Row],[DEP_DELAY]]&lt;=15,"No delay",IF(flights_sample_3m[[#This Row],[DEP_DELAY]]&lt;=60,"Short Delay","Long Delay"))</f>
        <v>No delay</v>
      </c>
      <c r="P468" t="str">
        <f>IF(flights_sample_3m[[#This Row],[DEP_DELAY]]&lt;=15,"Delayed","On Time")</f>
        <v>Delayed</v>
      </c>
      <c r="Q468">
        <v>8</v>
      </c>
      <c r="R468">
        <v>920</v>
      </c>
      <c r="S468">
        <v>1240</v>
      </c>
      <c r="T468">
        <v>4</v>
      </c>
      <c r="U468">
        <v>1315</v>
      </c>
      <c r="V468" s="2">
        <v>1244</v>
      </c>
      <c r="W468">
        <v>-31</v>
      </c>
      <c r="X468">
        <v>0</v>
      </c>
      <c r="Y468">
        <v>0</v>
      </c>
      <c r="Z468">
        <v>0</v>
      </c>
      <c r="AA468">
        <v>180</v>
      </c>
      <c r="AB468">
        <v>152</v>
      </c>
      <c r="AC468">
        <v>140</v>
      </c>
      <c r="AD468">
        <v>1113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">
      <c r="A469" s="1">
        <v>43593</v>
      </c>
      <c r="B469" s="1" t="str">
        <f>TEXT(flights_sample_3m[[#This Row],[FL_DATE]],"yyyy-mm")</f>
        <v>2019-05</v>
      </c>
      <c r="C469" t="s">
        <v>80</v>
      </c>
      <c r="D469" t="s">
        <v>81</v>
      </c>
      <c r="E469" t="s">
        <v>82</v>
      </c>
      <c r="F469">
        <v>19930</v>
      </c>
      <c r="G469">
        <v>1048</v>
      </c>
      <c r="H469" t="s">
        <v>78</v>
      </c>
      <c r="I469" t="s">
        <v>79</v>
      </c>
      <c r="J469" t="s">
        <v>44</v>
      </c>
      <c r="K469" t="s">
        <v>45</v>
      </c>
      <c r="L469">
        <v>700</v>
      </c>
      <c r="M469" s="2">
        <v>654</v>
      </c>
      <c r="N469">
        <v>-6</v>
      </c>
      <c r="O469" t="str">
        <f>IF(flights_sample_3m[[#This Row],[DEP_DELAY]]&lt;=15,"No delay",IF(flights_sample_3m[[#This Row],[DEP_DELAY]]&lt;=60,"Short Delay","Long Delay"))</f>
        <v>No delay</v>
      </c>
      <c r="P469" t="str">
        <f>IF(flights_sample_3m[[#This Row],[DEP_DELAY]]&lt;=15,"Delayed","On Time")</f>
        <v>Delayed</v>
      </c>
      <c r="Q469">
        <v>26</v>
      </c>
      <c r="R469">
        <v>720</v>
      </c>
      <c r="S469">
        <v>955</v>
      </c>
      <c r="T469">
        <v>21</v>
      </c>
      <c r="U469">
        <v>955</v>
      </c>
      <c r="V469" s="2">
        <v>1016</v>
      </c>
      <c r="W469">
        <v>21</v>
      </c>
      <c r="X469">
        <v>0</v>
      </c>
      <c r="Y469">
        <v>0</v>
      </c>
      <c r="Z469">
        <v>0</v>
      </c>
      <c r="AA469">
        <v>175</v>
      </c>
      <c r="AB469">
        <v>202</v>
      </c>
      <c r="AC469">
        <v>155</v>
      </c>
      <c r="AD469">
        <v>954</v>
      </c>
      <c r="AE469">
        <v>0</v>
      </c>
      <c r="AF469">
        <v>0</v>
      </c>
      <c r="AG469">
        <v>21</v>
      </c>
      <c r="AH469">
        <v>0</v>
      </c>
      <c r="AI469">
        <v>0</v>
      </c>
    </row>
    <row r="470" spans="1:35" x14ac:dyDescent="0.3">
      <c r="A470" s="1">
        <v>43900</v>
      </c>
      <c r="B470" s="1" t="str">
        <f>TEXT(flights_sample_3m[[#This Row],[FL_DATE]],"yyyy-mm")</f>
        <v>2020-03</v>
      </c>
      <c r="C470" t="s">
        <v>39</v>
      </c>
      <c r="D470" t="s">
        <v>40</v>
      </c>
      <c r="E470" t="s">
        <v>41</v>
      </c>
      <c r="F470">
        <v>19790</v>
      </c>
      <c r="G470">
        <v>1634</v>
      </c>
      <c r="H470" t="s">
        <v>123</v>
      </c>
      <c r="I470" t="s">
        <v>124</v>
      </c>
      <c r="J470" t="s">
        <v>110</v>
      </c>
      <c r="K470" t="s">
        <v>111</v>
      </c>
      <c r="L470">
        <v>1537</v>
      </c>
      <c r="M470" s="2">
        <v>1539</v>
      </c>
      <c r="N470">
        <v>2</v>
      </c>
      <c r="O470" t="str">
        <f>IF(flights_sample_3m[[#This Row],[DEP_DELAY]]&lt;=15,"No delay",IF(flights_sample_3m[[#This Row],[DEP_DELAY]]&lt;=60,"Short Delay","Long Delay"))</f>
        <v>No delay</v>
      </c>
      <c r="P470" t="str">
        <f>IF(flights_sample_3m[[#This Row],[DEP_DELAY]]&lt;=15,"Delayed","On Time")</f>
        <v>Delayed</v>
      </c>
      <c r="Q470">
        <v>17</v>
      </c>
      <c r="R470">
        <v>1556</v>
      </c>
      <c r="S470">
        <v>1718</v>
      </c>
      <c r="T470">
        <v>7</v>
      </c>
      <c r="U470">
        <v>1739</v>
      </c>
      <c r="V470" s="2">
        <v>1725</v>
      </c>
      <c r="W470">
        <v>-14</v>
      </c>
      <c r="X470">
        <v>0</v>
      </c>
      <c r="Y470">
        <v>0</v>
      </c>
      <c r="Z470">
        <v>0</v>
      </c>
      <c r="AA470">
        <v>122</v>
      </c>
      <c r="AB470">
        <v>106</v>
      </c>
      <c r="AC470">
        <v>82</v>
      </c>
      <c r="AD470">
        <v>541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">
      <c r="A471" s="1">
        <v>44623</v>
      </c>
      <c r="B471" s="1" t="str">
        <f>TEXT(flights_sample_3m[[#This Row],[FL_DATE]],"yyyy-mm")</f>
        <v>2022-03</v>
      </c>
      <c r="C471" t="s">
        <v>57</v>
      </c>
      <c r="D471" t="s">
        <v>58</v>
      </c>
      <c r="E471" t="s">
        <v>59</v>
      </c>
      <c r="F471">
        <v>19393</v>
      </c>
      <c r="G471">
        <v>1337</v>
      </c>
      <c r="H471" t="s">
        <v>91</v>
      </c>
      <c r="I471" t="s">
        <v>92</v>
      </c>
      <c r="J471" t="s">
        <v>205</v>
      </c>
      <c r="K471" t="s">
        <v>206</v>
      </c>
      <c r="L471">
        <v>1305</v>
      </c>
      <c r="M471" s="2">
        <v>1317</v>
      </c>
      <c r="N471">
        <v>12</v>
      </c>
      <c r="O471" t="str">
        <f>IF(flights_sample_3m[[#This Row],[DEP_DELAY]]&lt;=15,"No delay",IF(flights_sample_3m[[#This Row],[DEP_DELAY]]&lt;=60,"Short Delay","Long Delay"))</f>
        <v>No delay</v>
      </c>
      <c r="P471" t="str">
        <f>IF(flights_sample_3m[[#This Row],[DEP_DELAY]]&lt;=15,"Delayed","On Time")</f>
        <v>Delayed</v>
      </c>
      <c r="Q471">
        <v>9</v>
      </c>
      <c r="R471">
        <v>1326</v>
      </c>
      <c r="S471">
        <v>1547</v>
      </c>
      <c r="T471">
        <v>4</v>
      </c>
      <c r="U471">
        <v>1605</v>
      </c>
      <c r="V471" s="2">
        <v>1551</v>
      </c>
      <c r="W471">
        <v>-14</v>
      </c>
      <c r="X471">
        <v>0</v>
      </c>
      <c r="Y471">
        <v>0</v>
      </c>
      <c r="Z471">
        <v>0</v>
      </c>
      <c r="AA471">
        <v>120</v>
      </c>
      <c r="AB471">
        <v>94</v>
      </c>
      <c r="AC471">
        <v>81</v>
      </c>
      <c r="AD471">
        <v>668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">
      <c r="A472" s="1">
        <v>44655</v>
      </c>
      <c r="B472" s="1" t="str">
        <f>TEXT(flights_sample_3m[[#This Row],[FL_DATE]],"yyyy-mm")</f>
        <v>2022-04</v>
      </c>
      <c r="C472" t="s">
        <v>167</v>
      </c>
      <c r="D472" t="s">
        <v>168</v>
      </c>
      <c r="E472" t="s">
        <v>169</v>
      </c>
      <c r="F472">
        <v>20363</v>
      </c>
      <c r="G472">
        <v>5028</v>
      </c>
      <c r="H472" t="s">
        <v>237</v>
      </c>
      <c r="I472" t="s">
        <v>238</v>
      </c>
      <c r="J472" t="s">
        <v>177</v>
      </c>
      <c r="K472" t="s">
        <v>111</v>
      </c>
      <c r="L472">
        <v>1553</v>
      </c>
      <c r="M472" s="2">
        <v>1635</v>
      </c>
      <c r="N472">
        <v>42</v>
      </c>
      <c r="O472" t="str">
        <f>IF(flights_sample_3m[[#This Row],[DEP_DELAY]]&lt;=15,"No delay",IF(flights_sample_3m[[#This Row],[DEP_DELAY]]&lt;=60,"Short Delay","Long Delay"))</f>
        <v>Short Delay</v>
      </c>
      <c r="P472" t="str">
        <f>IF(flights_sample_3m[[#This Row],[DEP_DELAY]]&lt;=15,"Delayed","On Time")</f>
        <v>On Time</v>
      </c>
      <c r="Q472">
        <v>12</v>
      </c>
      <c r="R472">
        <v>1647</v>
      </c>
      <c r="S472">
        <v>1945</v>
      </c>
      <c r="T472">
        <v>9</v>
      </c>
      <c r="U472">
        <v>1921</v>
      </c>
      <c r="V472" s="2">
        <v>1954</v>
      </c>
      <c r="W472">
        <v>33</v>
      </c>
      <c r="X472">
        <v>0</v>
      </c>
      <c r="Y472">
        <v>0</v>
      </c>
      <c r="Z472">
        <v>0</v>
      </c>
      <c r="AA472">
        <v>148</v>
      </c>
      <c r="AB472">
        <v>139</v>
      </c>
      <c r="AC472">
        <v>118</v>
      </c>
      <c r="AD472">
        <v>866</v>
      </c>
      <c r="AE472">
        <v>24</v>
      </c>
      <c r="AF472">
        <v>0</v>
      </c>
      <c r="AG472">
        <v>0</v>
      </c>
      <c r="AH472">
        <v>0</v>
      </c>
      <c r="AI472">
        <v>9</v>
      </c>
    </row>
    <row r="473" spans="1:35" x14ac:dyDescent="0.3">
      <c r="A473" s="1">
        <v>43541</v>
      </c>
      <c r="B473" s="1" t="str">
        <f>TEXT(flights_sample_3m[[#This Row],[FL_DATE]],"yyyy-mm")</f>
        <v>2019-03</v>
      </c>
      <c r="C473" t="s">
        <v>57</v>
      </c>
      <c r="D473" t="s">
        <v>58</v>
      </c>
      <c r="E473" t="s">
        <v>59</v>
      </c>
      <c r="F473">
        <v>19393</v>
      </c>
      <c r="G473">
        <v>3862</v>
      </c>
      <c r="H473" t="s">
        <v>178</v>
      </c>
      <c r="I473" t="s">
        <v>179</v>
      </c>
      <c r="J473" t="s">
        <v>155</v>
      </c>
      <c r="K473" t="s">
        <v>156</v>
      </c>
      <c r="L473">
        <v>800</v>
      </c>
      <c r="M473" s="2">
        <v>759</v>
      </c>
      <c r="N473">
        <v>-1</v>
      </c>
      <c r="O473" t="str">
        <f>IF(flights_sample_3m[[#This Row],[DEP_DELAY]]&lt;=15,"No delay",IF(flights_sample_3m[[#This Row],[DEP_DELAY]]&lt;=60,"Short Delay","Long Delay"))</f>
        <v>No delay</v>
      </c>
      <c r="P473" t="str">
        <f>IF(flights_sample_3m[[#This Row],[DEP_DELAY]]&lt;=15,"Delayed","On Time")</f>
        <v>Delayed</v>
      </c>
      <c r="Q473">
        <v>12</v>
      </c>
      <c r="R473">
        <v>811</v>
      </c>
      <c r="S473">
        <v>1312</v>
      </c>
      <c r="T473">
        <v>4</v>
      </c>
      <c r="U473">
        <v>1325</v>
      </c>
      <c r="V473" s="2">
        <v>1316</v>
      </c>
      <c r="W473">
        <v>-9</v>
      </c>
      <c r="X473">
        <v>0</v>
      </c>
      <c r="Y473">
        <v>0</v>
      </c>
      <c r="Z473">
        <v>0</v>
      </c>
      <c r="AA473">
        <v>205</v>
      </c>
      <c r="AB473">
        <v>197</v>
      </c>
      <c r="AC473">
        <v>181</v>
      </c>
      <c r="AD473">
        <v>1481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">
      <c r="A474" s="1">
        <v>43539</v>
      </c>
      <c r="B474" s="1" t="str">
        <f>TEXT(flights_sample_3m[[#This Row],[FL_DATE]],"yyyy-mm")</f>
        <v>2019-03</v>
      </c>
      <c r="C474" t="s">
        <v>57</v>
      </c>
      <c r="D474" t="s">
        <v>58</v>
      </c>
      <c r="E474" t="s">
        <v>59</v>
      </c>
      <c r="F474">
        <v>19393</v>
      </c>
      <c r="G474">
        <v>1</v>
      </c>
      <c r="H474" t="s">
        <v>60</v>
      </c>
      <c r="I474" t="s">
        <v>61</v>
      </c>
      <c r="J474" t="s">
        <v>320</v>
      </c>
      <c r="K474" t="s">
        <v>77</v>
      </c>
      <c r="L474">
        <v>700</v>
      </c>
      <c r="M474" s="2">
        <v>656</v>
      </c>
      <c r="N474">
        <v>-4</v>
      </c>
      <c r="O474" t="str">
        <f>IF(flights_sample_3m[[#This Row],[DEP_DELAY]]&lt;=15,"No delay",IF(flights_sample_3m[[#This Row],[DEP_DELAY]]&lt;=60,"Short Delay","Long Delay"))</f>
        <v>No delay</v>
      </c>
      <c r="P474" t="str">
        <f>IF(flights_sample_3m[[#This Row],[DEP_DELAY]]&lt;=15,"Delayed","On Time")</f>
        <v>Delayed</v>
      </c>
      <c r="Q474">
        <v>16</v>
      </c>
      <c r="R474">
        <v>712</v>
      </c>
      <c r="S474">
        <v>757</v>
      </c>
      <c r="T474">
        <v>2</v>
      </c>
      <c r="U474">
        <v>810</v>
      </c>
      <c r="V474" s="2">
        <v>759</v>
      </c>
      <c r="W474">
        <v>-11</v>
      </c>
      <c r="X474">
        <v>0</v>
      </c>
      <c r="Y474">
        <v>0</v>
      </c>
      <c r="Z474">
        <v>0</v>
      </c>
      <c r="AA474">
        <v>70</v>
      </c>
      <c r="AB474">
        <v>63</v>
      </c>
      <c r="AC474">
        <v>45</v>
      </c>
      <c r="AD474">
        <v>239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">
      <c r="A475" s="1">
        <v>45012</v>
      </c>
      <c r="B475" s="1" t="str">
        <f>TEXT(flights_sample_3m[[#This Row],[FL_DATE]],"yyyy-mm")</f>
        <v>2023-03</v>
      </c>
      <c r="C475" t="s">
        <v>189</v>
      </c>
      <c r="D475" t="s">
        <v>190</v>
      </c>
      <c r="E475" t="s">
        <v>191</v>
      </c>
      <c r="F475">
        <v>20436</v>
      </c>
      <c r="G475">
        <v>1210</v>
      </c>
      <c r="H475" t="s">
        <v>187</v>
      </c>
      <c r="I475" t="s">
        <v>188</v>
      </c>
      <c r="J475" t="s">
        <v>53</v>
      </c>
      <c r="K475" t="s">
        <v>54</v>
      </c>
      <c r="L475">
        <v>2023</v>
      </c>
      <c r="M475" s="2">
        <v>2033</v>
      </c>
      <c r="N475">
        <v>10</v>
      </c>
      <c r="O475" t="str">
        <f>IF(flights_sample_3m[[#This Row],[DEP_DELAY]]&lt;=15,"No delay",IF(flights_sample_3m[[#This Row],[DEP_DELAY]]&lt;=60,"Short Delay","Long Delay"))</f>
        <v>No delay</v>
      </c>
      <c r="P475" t="str">
        <f>IF(flights_sample_3m[[#This Row],[DEP_DELAY]]&lt;=15,"Delayed","On Time")</f>
        <v>Delayed</v>
      </c>
      <c r="Q475">
        <v>16</v>
      </c>
      <c r="R475">
        <v>2049</v>
      </c>
      <c r="S475">
        <v>2353</v>
      </c>
      <c r="T475">
        <v>24</v>
      </c>
      <c r="U475">
        <v>2356</v>
      </c>
      <c r="V475" s="2">
        <v>17</v>
      </c>
      <c r="W475">
        <v>21</v>
      </c>
      <c r="X475">
        <v>0</v>
      </c>
      <c r="Y475">
        <v>0</v>
      </c>
      <c r="Z475">
        <v>0</v>
      </c>
      <c r="AA475">
        <v>153</v>
      </c>
      <c r="AB475">
        <v>164</v>
      </c>
      <c r="AC475">
        <v>124</v>
      </c>
      <c r="AD475">
        <v>882</v>
      </c>
      <c r="AE475">
        <v>0</v>
      </c>
      <c r="AF475">
        <v>0</v>
      </c>
      <c r="AG475">
        <v>11</v>
      </c>
      <c r="AH475">
        <v>0</v>
      </c>
      <c r="AI475">
        <v>10</v>
      </c>
    </row>
    <row r="476" spans="1:35" x14ac:dyDescent="0.3">
      <c r="A476" s="1">
        <v>44455</v>
      </c>
      <c r="B476" s="1" t="str">
        <f>TEXT(flights_sample_3m[[#This Row],[FL_DATE]],"yyyy-mm")</f>
        <v>2021-09</v>
      </c>
      <c r="C476" t="s">
        <v>253</v>
      </c>
      <c r="D476" t="s">
        <v>254</v>
      </c>
      <c r="E476" t="s">
        <v>255</v>
      </c>
      <c r="F476">
        <v>19687</v>
      </c>
      <c r="G476">
        <v>2100</v>
      </c>
      <c r="H476" t="s">
        <v>44</v>
      </c>
      <c r="I476" t="s">
        <v>45</v>
      </c>
      <c r="J476" t="s">
        <v>398</v>
      </c>
      <c r="K476" t="s">
        <v>399</v>
      </c>
      <c r="L476">
        <v>2257</v>
      </c>
      <c r="M476" s="2">
        <v>2256</v>
      </c>
      <c r="N476">
        <v>-1</v>
      </c>
      <c r="O476" t="str">
        <f>IF(flights_sample_3m[[#This Row],[DEP_DELAY]]&lt;=15,"No delay",IF(flights_sample_3m[[#This Row],[DEP_DELAY]]&lt;=60,"Short Delay","Long Delay"))</f>
        <v>No delay</v>
      </c>
      <c r="P476" t="str">
        <f>IF(flights_sample_3m[[#This Row],[DEP_DELAY]]&lt;=15,"Delayed","On Time")</f>
        <v>Delayed</v>
      </c>
      <c r="Q476">
        <v>11</v>
      </c>
      <c r="R476">
        <v>2307</v>
      </c>
      <c r="S476">
        <v>2343</v>
      </c>
      <c r="T476">
        <v>7</v>
      </c>
      <c r="U476">
        <v>2350</v>
      </c>
      <c r="V476" s="2">
        <v>2350</v>
      </c>
      <c r="W476">
        <v>0</v>
      </c>
      <c r="X476">
        <v>0</v>
      </c>
      <c r="Y476">
        <v>0</v>
      </c>
      <c r="Z476">
        <v>0</v>
      </c>
      <c r="AA476">
        <v>53</v>
      </c>
      <c r="AB476">
        <v>54</v>
      </c>
      <c r="AC476">
        <v>36</v>
      </c>
      <c r="AD476">
        <v>172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">
      <c r="A477" s="1">
        <v>43902</v>
      </c>
      <c r="B477" s="1" t="str">
        <f>TEXT(flights_sample_3m[[#This Row],[FL_DATE]],"yyyy-mm")</f>
        <v>2020-03</v>
      </c>
      <c r="C477" t="s">
        <v>39</v>
      </c>
      <c r="D477" t="s">
        <v>40</v>
      </c>
      <c r="E477" t="s">
        <v>41</v>
      </c>
      <c r="F477">
        <v>19790</v>
      </c>
      <c r="G477">
        <v>1234</v>
      </c>
      <c r="H477" t="s">
        <v>118</v>
      </c>
      <c r="I477" t="s">
        <v>119</v>
      </c>
      <c r="J477" t="s">
        <v>85</v>
      </c>
      <c r="K477" t="s">
        <v>86</v>
      </c>
      <c r="L477">
        <v>520</v>
      </c>
      <c r="M477" s="2">
        <v>512</v>
      </c>
      <c r="N477">
        <v>-8</v>
      </c>
      <c r="O477" t="str">
        <f>IF(flights_sample_3m[[#This Row],[DEP_DELAY]]&lt;=15,"No delay",IF(flights_sample_3m[[#This Row],[DEP_DELAY]]&lt;=60,"Short Delay","Long Delay"))</f>
        <v>No delay</v>
      </c>
      <c r="P477" t="str">
        <f>IF(flights_sample_3m[[#This Row],[DEP_DELAY]]&lt;=15,"Delayed","On Time")</f>
        <v>Delayed</v>
      </c>
      <c r="Q477">
        <v>9</v>
      </c>
      <c r="R477">
        <v>521</v>
      </c>
      <c r="S477">
        <v>709</v>
      </c>
      <c r="T477">
        <v>9</v>
      </c>
      <c r="U477">
        <v>729</v>
      </c>
      <c r="V477" s="2">
        <v>718</v>
      </c>
      <c r="W477">
        <v>-11</v>
      </c>
      <c r="X477">
        <v>0</v>
      </c>
      <c r="Y477">
        <v>0</v>
      </c>
      <c r="Z477">
        <v>0</v>
      </c>
      <c r="AA477">
        <v>69</v>
      </c>
      <c r="AB477">
        <v>66</v>
      </c>
      <c r="AC477">
        <v>48</v>
      </c>
      <c r="AD477">
        <v>271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">
      <c r="A478" s="1">
        <v>45039</v>
      </c>
      <c r="B478" s="1" t="str">
        <f>TEXT(flights_sample_3m[[#This Row],[FL_DATE]],"yyyy-mm")</f>
        <v>2023-04</v>
      </c>
      <c r="C478" t="s">
        <v>39</v>
      </c>
      <c r="D478" t="s">
        <v>40</v>
      </c>
      <c r="E478" t="s">
        <v>41</v>
      </c>
      <c r="F478">
        <v>19790</v>
      </c>
      <c r="G478">
        <v>1196</v>
      </c>
      <c r="H478" t="s">
        <v>85</v>
      </c>
      <c r="I478" t="s">
        <v>86</v>
      </c>
      <c r="J478" t="s">
        <v>196</v>
      </c>
      <c r="K478" t="s">
        <v>197</v>
      </c>
      <c r="L478">
        <v>1221</v>
      </c>
      <c r="M478" s="2">
        <v>1218</v>
      </c>
      <c r="N478">
        <v>-3</v>
      </c>
      <c r="O478" t="str">
        <f>IF(flights_sample_3m[[#This Row],[DEP_DELAY]]&lt;=15,"No delay",IF(flights_sample_3m[[#This Row],[DEP_DELAY]]&lt;=60,"Short Delay","Long Delay"))</f>
        <v>No delay</v>
      </c>
      <c r="P478" t="str">
        <f>IF(flights_sample_3m[[#This Row],[DEP_DELAY]]&lt;=15,"Delayed","On Time")</f>
        <v>Delayed</v>
      </c>
      <c r="Q478">
        <v>12</v>
      </c>
      <c r="R478">
        <v>1230</v>
      </c>
      <c r="S478">
        <v>1340</v>
      </c>
      <c r="T478">
        <v>4</v>
      </c>
      <c r="U478">
        <v>1400</v>
      </c>
      <c r="V478" s="2">
        <v>1344</v>
      </c>
      <c r="W478">
        <v>-16</v>
      </c>
      <c r="X478">
        <v>0</v>
      </c>
      <c r="Y478">
        <v>0</v>
      </c>
      <c r="Z478">
        <v>0</v>
      </c>
      <c r="AA478">
        <v>99</v>
      </c>
      <c r="AB478">
        <v>86</v>
      </c>
      <c r="AC478">
        <v>70</v>
      </c>
      <c r="AD478">
        <v>515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">
      <c r="A479" s="1">
        <v>44006</v>
      </c>
      <c r="B479" s="1" t="str">
        <f>TEXT(flights_sample_3m[[#This Row],[FL_DATE]],"yyyy-mm")</f>
        <v>2020-06</v>
      </c>
      <c r="C479" t="s">
        <v>64</v>
      </c>
      <c r="D479" t="s">
        <v>65</v>
      </c>
      <c r="E479" t="s">
        <v>66</v>
      </c>
      <c r="F479">
        <v>19805</v>
      </c>
      <c r="G479">
        <v>2640</v>
      </c>
      <c r="H479" t="s">
        <v>55</v>
      </c>
      <c r="I479" t="s">
        <v>56</v>
      </c>
      <c r="J479" t="s">
        <v>365</v>
      </c>
      <c r="K479" t="s">
        <v>366</v>
      </c>
      <c r="L479">
        <v>1630</v>
      </c>
      <c r="M479" s="2">
        <v>1625</v>
      </c>
      <c r="N479">
        <v>-5</v>
      </c>
      <c r="O479" t="str">
        <f>IF(flights_sample_3m[[#This Row],[DEP_DELAY]]&lt;=15,"No delay",IF(flights_sample_3m[[#This Row],[DEP_DELAY]]&lt;=60,"Short Delay","Long Delay"))</f>
        <v>No delay</v>
      </c>
      <c r="P479" t="str">
        <f>IF(flights_sample_3m[[#This Row],[DEP_DELAY]]&lt;=15,"Delayed","On Time")</f>
        <v>Delayed</v>
      </c>
      <c r="Q479">
        <v>12</v>
      </c>
      <c r="R479">
        <v>1637</v>
      </c>
      <c r="S479">
        <v>1955</v>
      </c>
      <c r="T479">
        <v>5</v>
      </c>
      <c r="U479">
        <v>2018</v>
      </c>
      <c r="V479" s="2">
        <v>2000</v>
      </c>
      <c r="W479">
        <v>-18</v>
      </c>
      <c r="X479">
        <v>0</v>
      </c>
      <c r="Y479">
        <v>0</v>
      </c>
      <c r="Z479">
        <v>0</v>
      </c>
      <c r="AA479">
        <v>168</v>
      </c>
      <c r="AB479">
        <v>155</v>
      </c>
      <c r="AC479">
        <v>138</v>
      </c>
      <c r="AD479">
        <v>1102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">
      <c r="A480" s="1">
        <v>44500</v>
      </c>
      <c r="B480" s="1" t="str">
        <f>TEXT(flights_sample_3m[[#This Row],[FL_DATE]],"yyyy-mm")</f>
        <v>2021-10</v>
      </c>
      <c r="C480" t="s">
        <v>50</v>
      </c>
      <c r="D480" t="s">
        <v>51</v>
      </c>
      <c r="E480" t="s">
        <v>52</v>
      </c>
      <c r="F480">
        <v>20416</v>
      </c>
      <c r="G480">
        <v>61</v>
      </c>
      <c r="H480" t="s">
        <v>400</v>
      </c>
      <c r="I480" t="s">
        <v>401</v>
      </c>
      <c r="J480" t="s">
        <v>37</v>
      </c>
      <c r="K480" t="s">
        <v>38</v>
      </c>
      <c r="L480">
        <v>2159</v>
      </c>
      <c r="M480" s="2">
        <v>2152</v>
      </c>
      <c r="N480">
        <v>-7</v>
      </c>
      <c r="O480" t="str">
        <f>IF(flights_sample_3m[[#This Row],[DEP_DELAY]]&lt;=15,"No delay",IF(flights_sample_3m[[#This Row],[DEP_DELAY]]&lt;=60,"Short Delay","Long Delay"))</f>
        <v>No delay</v>
      </c>
      <c r="P480" t="str">
        <f>IF(flights_sample_3m[[#This Row],[DEP_DELAY]]&lt;=15,"Delayed","On Time")</f>
        <v>Delayed</v>
      </c>
      <c r="Q480">
        <v>13</v>
      </c>
      <c r="R480">
        <v>2205</v>
      </c>
      <c r="S480">
        <v>2326</v>
      </c>
      <c r="T480">
        <v>8</v>
      </c>
      <c r="U480">
        <v>2342</v>
      </c>
      <c r="V480" s="2">
        <v>2334</v>
      </c>
      <c r="W480">
        <v>-8</v>
      </c>
      <c r="X480">
        <v>0</v>
      </c>
      <c r="Y480">
        <v>0</v>
      </c>
      <c r="Z480">
        <v>0</v>
      </c>
      <c r="AA480">
        <v>103</v>
      </c>
      <c r="AB480">
        <v>102</v>
      </c>
      <c r="AC480">
        <v>81</v>
      </c>
      <c r="AD480">
        <v>550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">
      <c r="A481" s="1">
        <v>43538</v>
      </c>
      <c r="B481" s="1" t="str">
        <f>TEXT(flights_sample_3m[[#This Row],[FL_DATE]],"yyyy-mm")</f>
        <v>2019-03</v>
      </c>
      <c r="C481" t="s">
        <v>50</v>
      </c>
      <c r="D481" t="s">
        <v>51</v>
      </c>
      <c r="E481" t="s">
        <v>52</v>
      </c>
      <c r="F481">
        <v>20416</v>
      </c>
      <c r="G481">
        <v>316</v>
      </c>
      <c r="H481" t="s">
        <v>170</v>
      </c>
      <c r="I481" t="s">
        <v>171</v>
      </c>
      <c r="J481" t="s">
        <v>177</v>
      </c>
      <c r="K481" t="s">
        <v>111</v>
      </c>
      <c r="L481">
        <v>600</v>
      </c>
      <c r="M481" s="2">
        <v>602</v>
      </c>
      <c r="N481">
        <v>2</v>
      </c>
      <c r="O481" t="str">
        <f>IF(flights_sample_3m[[#This Row],[DEP_DELAY]]&lt;=15,"No delay",IF(flights_sample_3m[[#This Row],[DEP_DELAY]]&lt;=60,"Short Delay","Long Delay"))</f>
        <v>No delay</v>
      </c>
      <c r="P481" t="str">
        <f>IF(flights_sample_3m[[#This Row],[DEP_DELAY]]&lt;=15,"Delayed","On Time")</f>
        <v>Delayed</v>
      </c>
      <c r="Q481">
        <v>11</v>
      </c>
      <c r="R481">
        <v>613</v>
      </c>
      <c r="S481">
        <v>729</v>
      </c>
      <c r="T481">
        <v>10</v>
      </c>
      <c r="U481">
        <v>740</v>
      </c>
      <c r="V481" s="2">
        <v>739</v>
      </c>
      <c r="W481">
        <v>-1</v>
      </c>
      <c r="X481">
        <v>0</v>
      </c>
      <c r="Y481">
        <v>0</v>
      </c>
      <c r="Z481">
        <v>0</v>
      </c>
      <c r="AA481">
        <v>100</v>
      </c>
      <c r="AB481">
        <v>97</v>
      </c>
      <c r="AC481">
        <v>76</v>
      </c>
      <c r="AD481">
        <v>502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">
      <c r="A482" s="1">
        <v>44424</v>
      </c>
      <c r="B482" s="1" t="str">
        <f>TEXT(flights_sample_3m[[#This Row],[FL_DATE]],"yyyy-mm")</f>
        <v>2021-08</v>
      </c>
      <c r="C482" t="s">
        <v>167</v>
      </c>
      <c r="D482" t="s">
        <v>168</v>
      </c>
      <c r="E482" t="s">
        <v>169</v>
      </c>
      <c r="F482">
        <v>20363</v>
      </c>
      <c r="G482">
        <v>4676</v>
      </c>
      <c r="H482" t="s">
        <v>110</v>
      </c>
      <c r="I482" t="s">
        <v>111</v>
      </c>
      <c r="J482" t="s">
        <v>170</v>
      </c>
      <c r="K482" t="s">
        <v>171</v>
      </c>
      <c r="L482">
        <v>720</v>
      </c>
      <c r="M482" s="2">
        <v>713</v>
      </c>
      <c r="N482">
        <v>-7</v>
      </c>
      <c r="O482" t="str">
        <f>IF(flights_sample_3m[[#This Row],[DEP_DELAY]]&lt;=15,"No delay",IF(flights_sample_3m[[#This Row],[DEP_DELAY]]&lt;=60,"Short Delay","Long Delay"))</f>
        <v>No delay</v>
      </c>
      <c r="P482" t="str">
        <f>IF(flights_sample_3m[[#This Row],[DEP_DELAY]]&lt;=15,"Delayed","On Time")</f>
        <v>Delayed</v>
      </c>
      <c r="Q482">
        <v>19</v>
      </c>
      <c r="R482">
        <v>732</v>
      </c>
      <c r="S482">
        <v>855</v>
      </c>
      <c r="T482">
        <v>32</v>
      </c>
      <c r="U482">
        <v>921</v>
      </c>
      <c r="V482" s="2">
        <v>927</v>
      </c>
      <c r="W482">
        <v>6</v>
      </c>
      <c r="X482">
        <v>0</v>
      </c>
      <c r="Y482">
        <v>0</v>
      </c>
      <c r="Z482">
        <v>0</v>
      </c>
      <c r="AA482">
        <v>121</v>
      </c>
      <c r="AB482">
        <v>134</v>
      </c>
      <c r="AC482">
        <v>83</v>
      </c>
      <c r="AD482">
        <v>509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">
      <c r="A483" s="1">
        <v>44988</v>
      </c>
      <c r="B483" s="1" t="str">
        <f>TEXT(flights_sample_3m[[#This Row],[FL_DATE]],"yyyy-mm")</f>
        <v>2023-03</v>
      </c>
      <c r="C483" t="s">
        <v>182</v>
      </c>
      <c r="D483" t="s">
        <v>183</v>
      </c>
      <c r="E483" t="s">
        <v>184</v>
      </c>
      <c r="F483">
        <v>20398</v>
      </c>
      <c r="G483">
        <v>3615</v>
      </c>
      <c r="H483" t="s">
        <v>296</v>
      </c>
      <c r="I483" t="s">
        <v>297</v>
      </c>
      <c r="J483" t="s">
        <v>106</v>
      </c>
      <c r="K483" t="s">
        <v>92</v>
      </c>
      <c r="L483">
        <v>648</v>
      </c>
      <c r="M483" s="2">
        <v>643</v>
      </c>
      <c r="N483">
        <v>-5</v>
      </c>
      <c r="O483" t="str">
        <f>IF(flights_sample_3m[[#This Row],[DEP_DELAY]]&lt;=15,"No delay",IF(flights_sample_3m[[#This Row],[DEP_DELAY]]&lt;=60,"Short Delay","Long Delay"))</f>
        <v>No delay</v>
      </c>
      <c r="P483" t="str">
        <f>IF(flights_sample_3m[[#This Row],[DEP_DELAY]]&lt;=15,"Delayed","On Time")</f>
        <v>Delayed</v>
      </c>
      <c r="Q483">
        <v>10</v>
      </c>
      <c r="R483">
        <v>653</v>
      </c>
      <c r="S483">
        <v>819</v>
      </c>
      <c r="T483">
        <v>9</v>
      </c>
      <c r="U483">
        <v>845</v>
      </c>
      <c r="V483" s="2">
        <v>828</v>
      </c>
      <c r="W483">
        <v>-17</v>
      </c>
      <c r="X483">
        <v>0</v>
      </c>
      <c r="Y483">
        <v>0</v>
      </c>
      <c r="Z483">
        <v>0</v>
      </c>
      <c r="AA483">
        <v>117</v>
      </c>
      <c r="AB483">
        <v>105</v>
      </c>
      <c r="AC483">
        <v>86</v>
      </c>
      <c r="AD483">
        <v>588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">
      <c r="A484" s="1">
        <v>45023</v>
      </c>
      <c r="B484" s="1" t="str">
        <f>TEXT(flights_sample_3m[[#This Row],[FL_DATE]],"yyyy-mm")</f>
        <v>2023-04</v>
      </c>
      <c r="C484" t="s">
        <v>32</v>
      </c>
      <c r="D484" t="s">
        <v>33</v>
      </c>
      <c r="E484" t="s">
        <v>34</v>
      </c>
      <c r="F484">
        <v>19977</v>
      </c>
      <c r="G484">
        <v>1300</v>
      </c>
      <c r="H484" t="s">
        <v>125</v>
      </c>
      <c r="I484" t="s">
        <v>68</v>
      </c>
      <c r="J484" t="s">
        <v>251</v>
      </c>
      <c r="K484" t="s">
        <v>252</v>
      </c>
      <c r="L484">
        <v>2230</v>
      </c>
      <c r="M484" s="2">
        <v>2226</v>
      </c>
      <c r="N484">
        <v>-4</v>
      </c>
      <c r="O484" t="str">
        <f>IF(flights_sample_3m[[#This Row],[DEP_DELAY]]&lt;=15,"No delay",IF(flights_sample_3m[[#This Row],[DEP_DELAY]]&lt;=60,"Short Delay","Long Delay"))</f>
        <v>No delay</v>
      </c>
      <c r="P484" t="str">
        <f>IF(flights_sample_3m[[#This Row],[DEP_DELAY]]&lt;=15,"Delayed","On Time")</f>
        <v>Delayed</v>
      </c>
      <c r="Q484">
        <v>11</v>
      </c>
      <c r="R484">
        <v>2237</v>
      </c>
      <c r="S484">
        <v>2315</v>
      </c>
      <c r="T484">
        <v>4</v>
      </c>
      <c r="U484">
        <v>2328</v>
      </c>
      <c r="V484" s="2">
        <v>2319</v>
      </c>
      <c r="W484">
        <v>-9</v>
      </c>
      <c r="X484">
        <v>0</v>
      </c>
      <c r="Y484">
        <v>0</v>
      </c>
      <c r="Z484">
        <v>0</v>
      </c>
      <c r="AA484">
        <v>58</v>
      </c>
      <c r="AB484">
        <v>53</v>
      </c>
      <c r="AC484">
        <v>38</v>
      </c>
      <c r="AD484">
        <v>157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">
      <c r="A485" s="1">
        <v>44350</v>
      </c>
      <c r="B485" s="1" t="str">
        <f>TEXT(flights_sample_3m[[#This Row],[FL_DATE]],"yyyy-mm")</f>
        <v>2021-06</v>
      </c>
      <c r="C485" t="s">
        <v>253</v>
      </c>
      <c r="D485" t="s">
        <v>254</v>
      </c>
      <c r="E485" t="s">
        <v>255</v>
      </c>
      <c r="F485">
        <v>19687</v>
      </c>
      <c r="G485">
        <v>2319</v>
      </c>
      <c r="H485" t="s">
        <v>402</v>
      </c>
      <c r="I485" t="s">
        <v>403</v>
      </c>
      <c r="J485" t="s">
        <v>44</v>
      </c>
      <c r="K485" t="s">
        <v>45</v>
      </c>
      <c r="L485">
        <v>755</v>
      </c>
      <c r="M485" s="2">
        <v>742</v>
      </c>
      <c r="N485">
        <v>-13</v>
      </c>
      <c r="O485" t="str">
        <f>IF(flights_sample_3m[[#This Row],[DEP_DELAY]]&lt;=15,"No delay",IF(flights_sample_3m[[#This Row],[DEP_DELAY]]&lt;=60,"Short Delay","Long Delay"))</f>
        <v>No delay</v>
      </c>
      <c r="P485" t="str">
        <f>IF(flights_sample_3m[[#This Row],[DEP_DELAY]]&lt;=15,"Delayed","On Time")</f>
        <v>Delayed</v>
      </c>
      <c r="Q485">
        <v>24</v>
      </c>
      <c r="R485">
        <v>806</v>
      </c>
      <c r="S485">
        <v>849</v>
      </c>
      <c r="T485">
        <v>10</v>
      </c>
      <c r="U485">
        <v>852</v>
      </c>
      <c r="V485" s="2">
        <v>859</v>
      </c>
      <c r="W485">
        <v>7</v>
      </c>
      <c r="X485">
        <v>0</v>
      </c>
      <c r="Y485">
        <v>0</v>
      </c>
      <c r="Z485">
        <v>0</v>
      </c>
      <c r="AA485">
        <v>117</v>
      </c>
      <c r="AB485">
        <v>137</v>
      </c>
      <c r="AC485">
        <v>103</v>
      </c>
      <c r="AD485">
        <v>512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">
      <c r="A486" s="1">
        <v>44836</v>
      </c>
      <c r="B486" s="1" t="str">
        <f>TEXT(flights_sample_3m[[#This Row],[FL_DATE]],"yyyy-mm")</f>
        <v>2022-10</v>
      </c>
      <c r="C486" t="s">
        <v>182</v>
      </c>
      <c r="D486" t="s">
        <v>183</v>
      </c>
      <c r="E486" t="s">
        <v>184</v>
      </c>
      <c r="F486">
        <v>20398</v>
      </c>
      <c r="G486">
        <v>3929</v>
      </c>
      <c r="H486" t="s">
        <v>404</v>
      </c>
      <c r="I486" t="s">
        <v>405</v>
      </c>
      <c r="J486" t="s">
        <v>106</v>
      </c>
      <c r="K486" t="s">
        <v>92</v>
      </c>
      <c r="L486">
        <v>613</v>
      </c>
      <c r="M486" s="2">
        <v>612</v>
      </c>
      <c r="N486">
        <v>-1</v>
      </c>
      <c r="O486" t="str">
        <f>IF(flights_sample_3m[[#This Row],[DEP_DELAY]]&lt;=15,"No delay",IF(flights_sample_3m[[#This Row],[DEP_DELAY]]&lt;=60,"Short Delay","Long Delay"))</f>
        <v>No delay</v>
      </c>
      <c r="P486" t="str">
        <f>IF(flights_sample_3m[[#This Row],[DEP_DELAY]]&lt;=15,"Delayed","On Time")</f>
        <v>Delayed</v>
      </c>
      <c r="Q486">
        <v>11</v>
      </c>
      <c r="R486">
        <v>623</v>
      </c>
      <c r="S486">
        <v>705</v>
      </c>
      <c r="T486">
        <v>20</v>
      </c>
      <c r="U486">
        <v>725</v>
      </c>
      <c r="V486" s="2">
        <v>725</v>
      </c>
      <c r="W486">
        <v>0</v>
      </c>
      <c r="X486">
        <v>0</v>
      </c>
      <c r="Y486">
        <v>0</v>
      </c>
      <c r="Z486">
        <v>0</v>
      </c>
      <c r="AA486">
        <v>72</v>
      </c>
      <c r="AB486">
        <v>73</v>
      </c>
      <c r="AC486">
        <v>42</v>
      </c>
      <c r="AD486">
        <v>215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">
      <c r="A487" s="1">
        <v>44768</v>
      </c>
      <c r="B487" s="1" t="str">
        <f>TEXT(flights_sample_3m[[#This Row],[FL_DATE]],"yyyy-mm")</f>
        <v>2022-07</v>
      </c>
      <c r="C487" t="s">
        <v>167</v>
      </c>
      <c r="D487" t="s">
        <v>168</v>
      </c>
      <c r="E487" t="s">
        <v>169</v>
      </c>
      <c r="F487">
        <v>20363</v>
      </c>
      <c r="G487">
        <v>5273</v>
      </c>
      <c r="H487" t="s">
        <v>110</v>
      </c>
      <c r="I487" t="s">
        <v>111</v>
      </c>
      <c r="J487" t="s">
        <v>333</v>
      </c>
      <c r="K487" t="s">
        <v>334</v>
      </c>
      <c r="L487">
        <v>1900</v>
      </c>
      <c r="M487" s="2">
        <v>1946</v>
      </c>
      <c r="N487">
        <v>46</v>
      </c>
      <c r="O487" t="str">
        <f>IF(flights_sample_3m[[#This Row],[DEP_DELAY]]&lt;=15,"No delay",IF(flights_sample_3m[[#This Row],[DEP_DELAY]]&lt;=60,"Short Delay","Long Delay"))</f>
        <v>Short Delay</v>
      </c>
      <c r="P487" t="str">
        <f>IF(flights_sample_3m[[#This Row],[DEP_DELAY]]&lt;=15,"Delayed","On Time")</f>
        <v>On Time</v>
      </c>
      <c r="Q487">
        <v>28</v>
      </c>
      <c r="R487">
        <v>2014</v>
      </c>
      <c r="S487">
        <v>2149</v>
      </c>
      <c r="T487">
        <v>5</v>
      </c>
      <c r="U487">
        <v>2124</v>
      </c>
      <c r="V487" s="2">
        <v>2154</v>
      </c>
      <c r="W487">
        <v>30</v>
      </c>
      <c r="X487">
        <v>0</v>
      </c>
      <c r="Y487">
        <v>0</v>
      </c>
      <c r="Z487">
        <v>0</v>
      </c>
      <c r="AA487">
        <v>144</v>
      </c>
      <c r="AB487">
        <v>128</v>
      </c>
      <c r="AC487">
        <v>95</v>
      </c>
      <c r="AD487">
        <v>589</v>
      </c>
      <c r="AE487">
        <v>30</v>
      </c>
      <c r="AF487">
        <v>0</v>
      </c>
      <c r="AG487">
        <v>0</v>
      </c>
      <c r="AH487">
        <v>0</v>
      </c>
      <c r="AI487">
        <v>0</v>
      </c>
    </row>
    <row r="488" spans="1:35" x14ac:dyDescent="0.3">
      <c r="A488" s="1">
        <v>44457</v>
      </c>
      <c r="B488" s="1" t="str">
        <f>TEXT(flights_sample_3m[[#This Row],[FL_DATE]],"yyyy-mm")</f>
        <v>2021-09</v>
      </c>
      <c r="C488" t="s">
        <v>148</v>
      </c>
      <c r="D488" t="s">
        <v>149</v>
      </c>
      <c r="E488" t="s">
        <v>150</v>
      </c>
      <c r="F488">
        <v>20304</v>
      </c>
      <c r="G488">
        <v>5350</v>
      </c>
      <c r="H488" t="s">
        <v>406</v>
      </c>
      <c r="I488" t="s">
        <v>407</v>
      </c>
      <c r="J488" t="s">
        <v>78</v>
      </c>
      <c r="K488" t="s">
        <v>79</v>
      </c>
      <c r="L488">
        <v>1539</v>
      </c>
      <c r="M488" s="2">
        <v>1529</v>
      </c>
      <c r="N488">
        <v>-10</v>
      </c>
      <c r="O488" t="str">
        <f>IF(flights_sample_3m[[#This Row],[DEP_DELAY]]&lt;=15,"No delay",IF(flights_sample_3m[[#This Row],[DEP_DELAY]]&lt;=60,"Short Delay","Long Delay"))</f>
        <v>No delay</v>
      </c>
      <c r="P488" t="str">
        <f>IF(flights_sample_3m[[#This Row],[DEP_DELAY]]&lt;=15,"Delayed","On Time")</f>
        <v>Delayed</v>
      </c>
      <c r="Q488">
        <v>11</v>
      </c>
      <c r="R488">
        <v>1540</v>
      </c>
      <c r="S488">
        <v>1730</v>
      </c>
      <c r="T488">
        <v>13</v>
      </c>
      <c r="U488">
        <v>1751</v>
      </c>
      <c r="V488" s="2">
        <v>1743</v>
      </c>
      <c r="W488">
        <v>-8</v>
      </c>
      <c r="X488">
        <v>0</v>
      </c>
      <c r="Y488">
        <v>0</v>
      </c>
      <c r="Z488">
        <v>0</v>
      </c>
      <c r="AA488">
        <v>132</v>
      </c>
      <c r="AB488">
        <v>134</v>
      </c>
      <c r="AC488">
        <v>110</v>
      </c>
      <c r="AD488">
        <v>726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">
      <c r="A489" s="1">
        <v>43610</v>
      </c>
      <c r="B489" s="1" t="str">
        <f>TEXT(flights_sample_3m[[#This Row],[FL_DATE]],"yyyy-mm")</f>
        <v>2019-05</v>
      </c>
      <c r="C489" t="s">
        <v>57</v>
      </c>
      <c r="D489" t="s">
        <v>58</v>
      </c>
      <c r="E489" t="s">
        <v>59</v>
      </c>
      <c r="F489">
        <v>19393</v>
      </c>
      <c r="G489">
        <v>5358</v>
      </c>
      <c r="H489" t="s">
        <v>35</v>
      </c>
      <c r="I489" t="s">
        <v>36</v>
      </c>
      <c r="J489" t="s">
        <v>93</v>
      </c>
      <c r="K489" t="s">
        <v>94</v>
      </c>
      <c r="L489">
        <v>815</v>
      </c>
      <c r="M489" s="2">
        <v>812</v>
      </c>
      <c r="N489">
        <v>-3</v>
      </c>
      <c r="O489" t="str">
        <f>IF(flights_sample_3m[[#This Row],[DEP_DELAY]]&lt;=15,"No delay",IF(flights_sample_3m[[#This Row],[DEP_DELAY]]&lt;=60,"Short Delay","Long Delay"))</f>
        <v>No delay</v>
      </c>
      <c r="P489" t="str">
        <f>IF(flights_sample_3m[[#This Row],[DEP_DELAY]]&lt;=15,"Delayed","On Time")</f>
        <v>Delayed</v>
      </c>
      <c r="Q489">
        <v>11</v>
      </c>
      <c r="R489">
        <v>823</v>
      </c>
      <c r="S489">
        <v>912</v>
      </c>
      <c r="T489">
        <v>4</v>
      </c>
      <c r="U489">
        <v>935</v>
      </c>
      <c r="V489" s="2">
        <v>916</v>
      </c>
      <c r="W489">
        <v>-19</v>
      </c>
      <c r="X489">
        <v>0</v>
      </c>
      <c r="Y489">
        <v>0</v>
      </c>
      <c r="Z489">
        <v>0</v>
      </c>
      <c r="AA489">
        <v>140</v>
      </c>
      <c r="AB489">
        <v>124</v>
      </c>
      <c r="AC489">
        <v>109</v>
      </c>
      <c r="AD489">
        <v>793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">
      <c r="A490" s="1">
        <v>43748</v>
      </c>
      <c r="B490" s="1" t="str">
        <f>TEXT(flights_sample_3m[[#This Row],[FL_DATE]],"yyyy-mm")</f>
        <v>2019-10</v>
      </c>
      <c r="C490" t="s">
        <v>57</v>
      </c>
      <c r="D490" t="s">
        <v>58</v>
      </c>
      <c r="E490" t="s">
        <v>59</v>
      </c>
      <c r="F490">
        <v>19393</v>
      </c>
      <c r="G490">
        <v>2014</v>
      </c>
      <c r="H490" t="s">
        <v>85</v>
      </c>
      <c r="I490" t="s">
        <v>86</v>
      </c>
      <c r="J490" t="s">
        <v>93</v>
      </c>
      <c r="K490" t="s">
        <v>94</v>
      </c>
      <c r="L490">
        <v>1320</v>
      </c>
      <c r="M490" s="2">
        <v>1335</v>
      </c>
      <c r="N490">
        <v>15</v>
      </c>
      <c r="O490" t="str">
        <f>IF(flights_sample_3m[[#This Row],[DEP_DELAY]]&lt;=15,"No delay",IF(flights_sample_3m[[#This Row],[DEP_DELAY]]&lt;=60,"Short Delay","Long Delay"))</f>
        <v>No delay</v>
      </c>
      <c r="P490" t="str">
        <f>IF(flights_sample_3m[[#This Row],[DEP_DELAY]]&lt;=15,"Delayed","On Time")</f>
        <v>Delayed</v>
      </c>
      <c r="Q490">
        <v>6</v>
      </c>
      <c r="R490">
        <v>1341</v>
      </c>
      <c r="S490">
        <v>1320</v>
      </c>
      <c r="T490">
        <v>5</v>
      </c>
      <c r="U490">
        <v>1325</v>
      </c>
      <c r="V490" s="2">
        <v>1325</v>
      </c>
      <c r="W490">
        <v>0</v>
      </c>
      <c r="X490">
        <v>0</v>
      </c>
      <c r="Y490">
        <v>0</v>
      </c>
      <c r="Z490">
        <v>0</v>
      </c>
      <c r="AA490">
        <v>65</v>
      </c>
      <c r="AB490">
        <v>50</v>
      </c>
      <c r="AC490">
        <v>39</v>
      </c>
      <c r="AD490">
        <v>214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">
      <c r="A491" s="1">
        <v>44893</v>
      </c>
      <c r="B491" s="1" t="str">
        <f>TEXT(flights_sample_3m[[#This Row],[FL_DATE]],"yyyy-mm")</f>
        <v>2022-11</v>
      </c>
      <c r="C491" t="s">
        <v>64</v>
      </c>
      <c r="D491" t="s">
        <v>65</v>
      </c>
      <c r="E491" t="s">
        <v>66</v>
      </c>
      <c r="F491">
        <v>19805</v>
      </c>
      <c r="G491">
        <v>1189</v>
      </c>
      <c r="H491" t="s">
        <v>55</v>
      </c>
      <c r="I491" t="s">
        <v>56</v>
      </c>
      <c r="J491" t="s">
        <v>93</v>
      </c>
      <c r="K491" t="s">
        <v>94</v>
      </c>
      <c r="L491">
        <v>1102</v>
      </c>
      <c r="M491" s="2">
        <v>1057</v>
      </c>
      <c r="N491">
        <v>-5</v>
      </c>
      <c r="O491" t="str">
        <f>IF(flights_sample_3m[[#This Row],[DEP_DELAY]]&lt;=15,"No delay",IF(flights_sample_3m[[#This Row],[DEP_DELAY]]&lt;=60,"Short Delay","Long Delay"))</f>
        <v>No delay</v>
      </c>
      <c r="P491" t="str">
        <f>IF(flights_sample_3m[[#This Row],[DEP_DELAY]]&lt;=15,"Delayed","On Time")</f>
        <v>Delayed</v>
      </c>
      <c r="Q491">
        <v>10</v>
      </c>
      <c r="R491">
        <v>1107</v>
      </c>
      <c r="S491">
        <v>1224</v>
      </c>
      <c r="T491">
        <v>7</v>
      </c>
      <c r="U491">
        <v>1253</v>
      </c>
      <c r="V491" s="2">
        <v>1231</v>
      </c>
      <c r="W491">
        <v>-22</v>
      </c>
      <c r="X491">
        <v>0</v>
      </c>
      <c r="Y491">
        <v>0</v>
      </c>
      <c r="Z491">
        <v>0</v>
      </c>
      <c r="AA491">
        <v>111</v>
      </c>
      <c r="AB491">
        <v>94</v>
      </c>
      <c r="AC491">
        <v>77</v>
      </c>
      <c r="AD491">
        <v>631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">
      <c r="A492" s="1">
        <v>43785</v>
      </c>
      <c r="B492" s="1" t="str">
        <f>TEXT(flights_sample_3m[[#This Row],[FL_DATE]],"yyyy-mm")</f>
        <v>2019-11</v>
      </c>
      <c r="C492" t="s">
        <v>39</v>
      </c>
      <c r="D492" t="s">
        <v>40</v>
      </c>
      <c r="E492" t="s">
        <v>41</v>
      </c>
      <c r="F492">
        <v>19790</v>
      </c>
      <c r="G492">
        <v>54</v>
      </c>
      <c r="H492" t="s">
        <v>76</v>
      </c>
      <c r="I492" t="s">
        <v>77</v>
      </c>
      <c r="J492" t="s">
        <v>85</v>
      </c>
      <c r="K492" t="s">
        <v>86</v>
      </c>
      <c r="L492">
        <v>1745</v>
      </c>
      <c r="M492" s="2">
        <v>1745</v>
      </c>
      <c r="N492">
        <v>0</v>
      </c>
      <c r="O492" t="str">
        <f>IF(flights_sample_3m[[#This Row],[DEP_DELAY]]&lt;=15,"No delay",IF(flights_sample_3m[[#This Row],[DEP_DELAY]]&lt;=60,"Short Delay","Long Delay"))</f>
        <v>No delay</v>
      </c>
      <c r="P492" t="str">
        <f>IF(flights_sample_3m[[#This Row],[DEP_DELAY]]&lt;=15,"Delayed","On Time")</f>
        <v>Delayed</v>
      </c>
      <c r="Q492">
        <v>11</v>
      </c>
      <c r="R492">
        <v>1756</v>
      </c>
      <c r="S492">
        <v>2022</v>
      </c>
      <c r="T492">
        <v>9</v>
      </c>
      <c r="U492">
        <v>2043</v>
      </c>
      <c r="V492" s="2">
        <v>2031</v>
      </c>
      <c r="W492">
        <v>-12</v>
      </c>
      <c r="X492">
        <v>0</v>
      </c>
      <c r="Y492">
        <v>0</v>
      </c>
      <c r="Z492">
        <v>0</v>
      </c>
      <c r="AA492">
        <v>118</v>
      </c>
      <c r="AB492">
        <v>106</v>
      </c>
      <c r="AC492">
        <v>86</v>
      </c>
      <c r="AD492">
        <v>689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 s="1">
        <v>44358</v>
      </c>
      <c r="B493" s="1" t="str">
        <f>TEXT(flights_sample_3m[[#This Row],[FL_DATE]],"yyyy-mm")</f>
        <v>2021-06</v>
      </c>
      <c r="C493" t="s">
        <v>64</v>
      </c>
      <c r="D493" t="s">
        <v>65</v>
      </c>
      <c r="E493" t="s">
        <v>66</v>
      </c>
      <c r="F493">
        <v>19805</v>
      </c>
      <c r="G493">
        <v>1826</v>
      </c>
      <c r="H493" t="s">
        <v>251</v>
      </c>
      <c r="I493" t="s">
        <v>252</v>
      </c>
      <c r="J493" t="s">
        <v>55</v>
      </c>
      <c r="K493" t="s">
        <v>56</v>
      </c>
      <c r="L493">
        <v>1149</v>
      </c>
      <c r="M493" s="2">
        <v>1149</v>
      </c>
      <c r="N493">
        <v>0</v>
      </c>
      <c r="O493" t="str">
        <f>IF(flights_sample_3m[[#This Row],[DEP_DELAY]]&lt;=15,"No delay",IF(flights_sample_3m[[#This Row],[DEP_DELAY]]&lt;=60,"Short Delay","Long Delay"))</f>
        <v>No delay</v>
      </c>
      <c r="P493" t="str">
        <f>IF(flights_sample_3m[[#This Row],[DEP_DELAY]]&lt;=15,"Delayed","On Time")</f>
        <v>Delayed</v>
      </c>
      <c r="Q493">
        <v>10</v>
      </c>
      <c r="R493">
        <v>1159</v>
      </c>
      <c r="S493">
        <v>1343</v>
      </c>
      <c r="T493">
        <v>11</v>
      </c>
      <c r="U493">
        <v>1400</v>
      </c>
      <c r="V493" s="2">
        <v>1354</v>
      </c>
      <c r="W493">
        <v>-6</v>
      </c>
      <c r="X493">
        <v>0</v>
      </c>
      <c r="Y493">
        <v>0</v>
      </c>
      <c r="Z493">
        <v>0</v>
      </c>
      <c r="AA493">
        <v>191</v>
      </c>
      <c r="AB493">
        <v>185</v>
      </c>
      <c r="AC493">
        <v>164</v>
      </c>
      <c r="AD493">
        <v>1212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">
      <c r="A494" s="1">
        <v>43810</v>
      </c>
      <c r="B494" s="1" t="str">
        <f>TEXT(flights_sample_3m[[#This Row],[FL_DATE]],"yyyy-mm")</f>
        <v>2019-12</v>
      </c>
      <c r="C494" t="s">
        <v>32</v>
      </c>
      <c r="D494" t="s">
        <v>33</v>
      </c>
      <c r="E494" t="s">
        <v>34</v>
      </c>
      <c r="F494">
        <v>19977</v>
      </c>
      <c r="G494">
        <v>640</v>
      </c>
      <c r="H494" t="s">
        <v>106</v>
      </c>
      <c r="I494" t="s">
        <v>92</v>
      </c>
      <c r="J494" t="s">
        <v>205</v>
      </c>
      <c r="K494" t="s">
        <v>206</v>
      </c>
      <c r="L494">
        <v>2105</v>
      </c>
      <c r="M494" s="2">
        <v>2059</v>
      </c>
      <c r="N494">
        <v>-6</v>
      </c>
      <c r="O494" t="str">
        <f>IF(flights_sample_3m[[#This Row],[DEP_DELAY]]&lt;=15,"No delay",IF(flights_sample_3m[[#This Row],[DEP_DELAY]]&lt;=60,"Short Delay","Long Delay"))</f>
        <v>No delay</v>
      </c>
      <c r="P494" t="str">
        <f>IF(flights_sample_3m[[#This Row],[DEP_DELAY]]&lt;=15,"Delayed","On Time")</f>
        <v>Delayed</v>
      </c>
      <c r="Q494">
        <v>26</v>
      </c>
      <c r="R494">
        <v>2125</v>
      </c>
      <c r="S494">
        <v>2346</v>
      </c>
      <c r="T494">
        <v>5</v>
      </c>
      <c r="U494">
        <v>2359</v>
      </c>
      <c r="V494" s="2">
        <v>2351</v>
      </c>
      <c r="W494">
        <v>-8</v>
      </c>
      <c r="X494">
        <v>0</v>
      </c>
      <c r="Y494">
        <v>0</v>
      </c>
      <c r="Z494">
        <v>0</v>
      </c>
      <c r="AA494">
        <v>114</v>
      </c>
      <c r="AB494">
        <v>112</v>
      </c>
      <c r="AC494">
        <v>81</v>
      </c>
      <c r="AD494">
        <v>678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">
      <c r="A495" s="1">
        <v>44981</v>
      </c>
      <c r="B495" s="1" t="str">
        <f>TEXT(flights_sample_3m[[#This Row],[FL_DATE]],"yyyy-mm")</f>
        <v>2023-02</v>
      </c>
      <c r="C495" t="s">
        <v>311</v>
      </c>
      <c r="D495" t="s">
        <v>312</v>
      </c>
      <c r="E495" t="s">
        <v>313</v>
      </c>
      <c r="F495">
        <v>19690</v>
      </c>
      <c r="G495">
        <v>347</v>
      </c>
      <c r="H495" t="s">
        <v>215</v>
      </c>
      <c r="I495" t="s">
        <v>216</v>
      </c>
      <c r="J495" t="s">
        <v>258</v>
      </c>
      <c r="K495" t="s">
        <v>259</v>
      </c>
      <c r="L495">
        <v>1645</v>
      </c>
      <c r="M495" s="2">
        <v>1642</v>
      </c>
      <c r="N495">
        <v>-3</v>
      </c>
      <c r="O495" t="str">
        <f>IF(flights_sample_3m[[#This Row],[DEP_DELAY]]&lt;=15,"No delay",IF(flights_sample_3m[[#This Row],[DEP_DELAY]]&lt;=60,"Short Delay","Long Delay"))</f>
        <v>No delay</v>
      </c>
      <c r="P495" t="str">
        <f>IF(flights_sample_3m[[#This Row],[DEP_DELAY]]&lt;=15,"Delayed","On Time")</f>
        <v>Delayed</v>
      </c>
      <c r="Q495">
        <v>9</v>
      </c>
      <c r="R495">
        <v>1651</v>
      </c>
      <c r="S495">
        <v>1722</v>
      </c>
      <c r="T495">
        <v>10</v>
      </c>
      <c r="U495">
        <v>1733</v>
      </c>
      <c r="V495" s="2">
        <v>1732</v>
      </c>
      <c r="W495">
        <v>-1</v>
      </c>
      <c r="X495">
        <v>0</v>
      </c>
      <c r="Y495">
        <v>0</v>
      </c>
      <c r="Z495">
        <v>0</v>
      </c>
      <c r="AA495">
        <v>48</v>
      </c>
      <c r="AB495">
        <v>50</v>
      </c>
      <c r="AC495">
        <v>31</v>
      </c>
      <c r="AD495">
        <v>163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">
      <c r="A496" s="1">
        <v>43911</v>
      </c>
      <c r="B496" s="1" t="str">
        <f>TEXT(flights_sample_3m[[#This Row],[FL_DATE]],"yyyy-mm")</f>
        <v>2020-03</v>
      </c>
      <c r="C496" t="s">
        <v>148</v>
      </c>
      <c r="D496" t="s">
        <v>149</v>
      </c>
      <c r="E496" t="s">
        <v>150</v>
      </c>
      <c r="F496">
        <v>20304</v>
      </c>
      <c r="G496">
        <v>4330</v>
      </c>
      <c r="H496" t="s">
        <v>408</v>
      </c>
      <c r="I496" t="s">
        <v>409</v>
      </c>
      <c r="J496" t="s">
        <v>170</v>
      </c>
      <c r="K496" t="s">
        <v>171</v>
      </c>
      <c r="L496">
        <v>1810</v>
      </c>
      <c r="M496" s="2">
        <v>1750</v>
      </c>
      <c r="N496">
        <v>-20</v>
      </c>
      <c r="O496" t="str">
        <f>IF(flights_sample_3m[[#This Row],[DEP_DELAY]]&lt;=15,"No delay",IF(flights_sample_3m[[#This Row],[DEP_DELAY]]&lt;=60,"Short Delay","Long Delay"))</f>
        <v>No delay</v>
      </c>
      <c r="P496" t="str">
        <f>IF(flights_sample_3m[[#This Row],[DEP_DELAY]]&lt;=15,"Delayed","On Time")</f>
        <v>Delayed</v>
      </c>
      <c r="Q496">
        <v>17</v>
      </c>
      <c r="R496">
        <v>1807</v>
      </c>
      <c r="S496">
        <v>1903</v>
      </c>
      <c r="T496">
        <v>8</v>
      </c>
      <c r="U496">
        <v>1938</v>
      </c>
      <c r="V496" s="2">
        <v>1911</v>
      </c>
      <c r="W496">
        <v>-27</v>
      </c>
      <c r="X496">
        <v>0</v>
      </c>
      <c r="Y496">
        <v>0</v>
      </c>
      <c r="Z496">
        <v>0</v>
      </c>
      <c r="AA496">
        <v>88</v>
      </c>
      <c r="AB496">
        <v>81</v>
      </c>
      <c r="AC496">
        <v>56</v>
      </c>
      <c r="AD496">
        <v>349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">
      <c r="A497" s="1">
        <v>43479</v>
      </c>
      <c r="B497" s="1" t="str">
        <f>TEXT(flights_sample_3m[[#This Row],[FL_DATE]],"yyyy-mm")</f>
        <v>2019-01</v>
      </c>
      <c r="C497" t="s">
        <v>50</v>
      </c>
      <c r="D497" t="s">
        <v>51</v>
      </c>
      <c r="E497" t="s">
        <v>52</v>
      </c>
      <c r="F497">
        <v>20416</v>
      </c>
      <c r="G497">
        <v>929</v>
      </c>
      <c r="H497" t="s">
        <v>106</v>
      </c>
      <c r="I497" t="s">
        <v>92</v>
      </c>
      <c r="J497" t="s">
        <v>53</v>
      </c>
      <c r="K497" t="s">
        <v>54</v>
      </c>
      <c r="L497">
        <v>1835</v>
      </c>
      <c r="M497" s="2">
        <v>1827</v>
      </c>
      <c r="N497">
        <v>-8</v>
      </c>
      <c r="O497" t="str">
        <f>IF(flights_sample_3m[[#This Row],[DEP_DELAY]]&lt;=15,"No delay",IF(flights_sample_3m[[#This Row],[DEP_DELAY]]&lt;=60,"Short Delay","Long Delay"))</f>
        <v>No delay</v>
      </c>
      <c r="P497" t="str">
        <f>IF(flights_sample_3m[[#This Row],[DEP_DELAY]]&lt;=15,"Delayed","On Time")</f>
        <v>Delayed</v>
      </c>
      <c r="Q497">
        <v>30</v>
      </c>
      <c r="R497">
        <v>1857</v>
      </c>
      <c r="S497">
        <v>2201</v>
      </c>
      <c r="T497">
        <v>6</v>
      </c>
      <c r="U497">
        <v>2219</v>
      </c>
      <c r="V497" s="2">
        <v>2207</v>
      </c>
      <c r="W497">
        <v>-12</v>
      </c>
      <c r="X497">
        <v>0</v>
      </c>
      <c r="Y497">
        <v>0</v>
      </c>
      <c r="Z497">
        <v>0</v>
      </c>
      <c r="AA497">
        <v>164</v>
      </c>
      <c r="AB497">
        <v>160</v>
      </c>
      <c r="AC497">
        <v>124</v>
      </c>
      <c r="AD497">
        <v>1005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">
      <c r="A498" s="1">
        <v>43621</v>
      </c>
      <c r="B498" s="1" t="str">
        <f>TEXT(flights_sample_3m[[#This Row],[FL_DATE]],"yyyy-mm")</f>
        <v>2019-06</v>
      </c>
      <c r="C498" t="s">
        <v>39</v>
      </c>
      <c r="D498" t="s">
        <v>40</v>
      </c>
      <c r="E498" t="s">
        <v>41</v>
      </c>
      <c r="F498">
        <v>19790</v>
      </c>
      <c r="G498">
        <v>2054</v>
      </c>
      <c r="H498" t="s">
        <v>85</v>
      </c>
      <c r="I498" t="s">
        <v>86</v>
      </c>
      <c r="J498" t="s">
        <v>74</v>
      </c>
      <c r="K498" t="s">
        <v>75</v>
      </c>
      <c r="L498">
        <v>1850</v>
      </c>
      <c r="M498" s="2">
        <v>1848</v>
      </c>
      <c r="N498">
        <v>-2</v>
      </c>
      <c r="O498" t="str">
        <f>IF(flights_sample_3m[[#This Row],[DEP_DELAY]]&lt;=15,"No delay",IF(flights_sample_3m[[#This Row],[DEP_DELAY]]&lt;=60,"Short Delay","Long Delay"))</f>
        <v>No delay</v>
      </c>
      <c r="P498" t="str">
        <f>IF(flights_sample_3m[[#This Row],[DEP_DELAY]]&lt;=15,"Delayed","On Time")</f>
        <v>Delayed</v>
      </c>
      <c r="Q498">
        <v>10</v>
      </c>
      <c r="R498">
        <v>1858</v>
      </c>
      <c r="S498">
        <v>1831</v>
      </c>
      <c r="T498">
        <v>4</v>
      </c>
      <c r="U498">
        <v>1845</v>
      </c>
      <c r="V498" s="2">
        <v>1835</v>
      </c>
      <c r="W498">
        <v>-10</v>
      </c>
      <c r="X498">
        <v>0</v>
      </c>
      <c r="Y498">
        <v>0</v>
      </c>
      <c r="Z498">
        <v>0</v>
      </c>
      <c r="AA498">
        <v>55</v>
      </c>
      <c r="AB498">
        <v>47</v>
      </c>
      <c r="AC498">
        <v>33</v>
      </c>
      <c r="AD498">
        <v>151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">
      <c r="A499" s="1">
        <v>45073</v>
      </c>
      <c r="B499" s="1" t="str">
        <f>TEXT(flights_sample_3m[[#This Row],[FL_DATE]],"yyyy-mm")</f>
        <v>2023-05</v>
      </c>
      <c r="C499" t="s">
        <v>64</v>
      </c>
      <c r="D499" t="s">
        <v>65</v>
      </c>
      <c r="E499" t="s">
        <v>66</v>
      </c>
      <c r="F499">
        <v>19805</v>
      </c>
      <c r="G499">
        <v>707</v>
      </c>
      <c r="H499" t="s">
        <v>155</v>
      </c>
      <c r="I499" t="s">
        <v>156</v>
      </c>
      <c r="J499" t="s">
        <v>55</v>
      </c>
      <c r="K499" t="s">
        <v>56</v>
      </c>
      <c r="L499">
        <v>1111</v>
      </c>
      <c r="M499" s="2">
        <v>1103</v>
      </c>
      <c r="N499">
        <v>-8</v>
      </c>
      <c r="O499" t="str">
        <f>IF(flights_sample_3m[[#This Row],[DEP_DELAY]]&lt;=15,"No delay",IF(flights_sample_3m[[#This Row],[DEP_DELAY]]&lt;=60,"Short Delay","Long Delay"))</f>
        <v>No delay</v>
      </c>
      <c r="P499" t="str">
        <f>IF(flights_sample_3m[[#This Row],[DEP_DELAY]]&lt;=15,"Delayed","On Time")</f>
        <v>Delayed</v>
      </c>
      <c r="Q499">
        <v>11</v>
      </c>
      <c r="R499">
        <v>1114</v>
      </c>
      <c r="S499">
        <v>1152</v>
      </c>
      <c r="T499">
        <v>5</v>
      </c>
      <c r="U499">
        <v>1224</v>
      </c>
      <c r="V499" s="2">
        <v>1157</v>
      </c>
      <c r="W499">
        <v>-27</v>
      </c>
      <c r="X499">
        <v>0</v>
      </c>
      <c r="Y499">
        <v>0</v>
      </c>
      <c r="Z499">
        <v>0</v>
      </c>
      <c r="AA499">
        <v>73</v>
      </c>
      <c r="AB499">
        <v>54</v>
      </c>
      <c r="AC499">
        <v>38</v>
      </c>
      <c r="AD499">
        <v>190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">
      <c r="A500" s="1">
        <v>44327</v>
      </c>
      <c r="B500" s="1" t="str">
        <f>TEXT(flights_sample_3m[[#This Row],[FL_DATE]],"yyyy-mm")</f>
        <v>2021-05</v>
      </c>
      <c r="C500" t="s">
        <v>57</v>
      </c>
      <c r="D500" t="s">
        <v>58</v>
      </c>
      <c r="E500" t="s">
        <v>59</v>
      </c>
      <c r="F500">
        <v>19393</v>
      </c>
      <c r="G500">
        <v>4707</v>
      </c>
      <c r="H500" t="s">
        <v>309</v>
      </c>
      <c r="I500" t="s">
        <v>310</v>
      </c>
      <c r="J500" t="s">
        <v>129</v>
      </c>
      <c r="K500" t="s">
        <v>130</v>
      </c>
      <c r="L500">
        <v>1235</v>
      </c>
      <c r="M500" s="2">
        <v>1231</v>
      </c>
      <c r="N500">
        <v>-4</v>
      </c>
      <c r="O500" t="str">
        <f>IF(flights_sample_3m[[#This Row],[DEP_DELAY]]&lt;=15,"No delay",IF(flights_sample_3m[[#This Row],[DEP_DELAY]]&lt;=60,"Short Delay","Long Delay"))</f>
        <v>No delay</v>
      </c>
      <c r="P500" t="str">
        <f>IF(flights_sample_3m[[#This Row],[DEP_DELAY]]&lt;=15,"Delayed","On Time")</f>
        <v>Delayed</v>
      </c>
      <c r="Q500">
        <v>10</v>
      </c>
      <c r="R500">
        <v>1241</v>
      </c>
      <c r="S500">
        <v>1322</v>
      </c>
      <c r="T500">
        <v>11</v>
      </c>
      <c r="U500">
        <v>1345</v>
      </c>
      <c r="V500" s="2">
        <v>1333</v>
      </c>
      <c r="W500">
        <v>-12</v>
      </c>
      <c r="X500">
        <v>0</v>
      </c>
      <c r="Y500">
        <v>0</v>
      </c>
      <c r="Z500">
        <v>0</v>
      </c>
      <c r="AA500">
        <v>70</v>
      </c>
      <c r="AB500">
        <v>62</v>
      </c>
      <c r="AC500">
        <v>41</v>
      </c>
      <c r="AD500">
        <v>226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">
      <c r="A501" s="1">
        <v>44241</v>
      </c>
      <c r="B501" s="1" t="str">
        <f>TEXT(flights_sample_3m[[#This Row],[FL_DATE]],"yyyy-mm")</f>
        <v>2021-02</v>
      </c>
      <c r="C501" t="s">
        <v>57</v>
      </c>
      <c r="D501" t="s">
        <v>58</v>
      </c>
      <c r="E501" t="s">
        <v>59</v>
      </c>
      <c r="F501">
        <v>19393</v>
      </c>
      <c r="G501">
        <v>220</v>
      </c>
      <c r="H501" t="s">
        <v>178</v>
      </c>
      <c r="I501" t="s">
        <v>179</v>
      </c>
      <c r="J501" t="s">
        <v>46</v>
      </c>
      <c r="K501" t="s">
        <v>47</v>
      </c>
      <c r="L501">
        <v>1110</v>
      </c>
      <c r="M501" s="2">
        <v>1104</v>
      </c>
      <c r="N501">
        <v>-6</v>
      </c>
      <c r="O501" t="str">
        <f>IF(flights_sample_3m[[#This Row],[DEP_DELAY]]&lt;=15,"No delay",IF(flights_sample_3m[[#This Row],[DEP_DELAY]]&lt;=60,"Short Delay","Long Delay"))</f>
        <v>No delay</v>
      </c>
      <c r="P501" t="str">
        <f>IF(flights_sample_3m[[#This Row],[DEP_DELAY]]&lt;=15,"Delayed","On Time")</f>
        <v>Delayed</v>
      </c>
      <c r="Q501">
        <v>7</v>
      </c>
      <c r="R501">
        <v>1111</v>
      </c>
      <c r="S501">
        <v>1409</v>
      </c>
      <c r="T501">
        <v>5</v>
      </c>
      <c r="U501">
        <v>1425</v>
      </c>
      <c r="V501" s="2">
        <v>1414</v>
      </c>
      <c r="W501">
        <v>-11</v>
      </c>
      <c r="X501">
        <v>0</v>
      </c>
      <c r="Y501">
        <v>0</v>
      </c>
      <c r="Z501">
        <v>0</v>
      </c>
      <c r="AA501">
        <v>135</v>
      </c>
      <c r="AB501">
        <v>130</v>
      </c>
      <c r="AC501">
        <v>118</v>
      </c>
      <c r="AD501">
        <v>909</v>
      </c>
      <c r="AE501">
        <v>0</v>
      </c>
      <c r="AF501">
        <v>0</v>
      </c>
      <c r="AG501">
        <v>0</v>
      </c>
      <c r="AH501">
        <v>0</v>
      </c>
      <c r="AI5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34F24F-965F-45CD-9559-BEDE5A2E38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flights_sample_3m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Shriyanka Bhardawaj</dc:creator>
  <cp:lastModifiedBy>Shriyanka Bhardawaj</cp:lastModifiedBy>
  <dcterms:created xsi:type="dcterms:W3CDTF">2026-01-13T12:09:03Z</dcterms:created>
  <dcterms:modified xsi:type="dcterms:W3CDTF">2026-01-13T12:41:14Z</dcterms:modified>
</cp:coreProperties>
</file>